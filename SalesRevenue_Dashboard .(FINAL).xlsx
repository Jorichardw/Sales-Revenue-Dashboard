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Analytics_Project - Sales\02_WorkingFiles\"/>
    </mc:Choice>
  </mc:AlternateContent>
  <xr:revisionPtr revIDLastSave="0" documentId="8_{A1CDC5C3-4D8B-4E14-BB95-A3ECA6FDF5F9}" xr6:coauthVersionLast="47" xr6:coauthVersionMax="47" xr10:uidLastSave="{00000000-0000-0000-0000-000000000000}"/>
  <bookViews>
    <workbookView xWindow="-108" yWindow="-108" windowWidth="23256" windowHeight="12456" firstSheet="7" activeTab="8" xr2:uid="{07811F55-86B9-4AD5-B5F7-E5B7751F3D9C}"/>
  </bookViews>
  <sheets>
    <sheet name="DATA" sheetId="1" r:id="rId1"/>
    <sheet name="Sheet5" sheetId="5" r:id="rId2"/>
    <sheet name="Sheet6" sheetId="6" r:id="rId3"/>
    <sheet name="Detail1" sheetId="9" r:id="rId4"/>
    <sheet name="Detail2" sheetId="10" r:id="rId5"/>
    <sheet name="Detail3" sheetId="11" r:id="rId6"/>
    <sheet name="Detail4" sheetId="12" r:id="rId7"/>
    <sheet name="CALCULATIONS" sheetId="3" r:id="rId8"/>
    <sheet name="DASHBOARD" sheetId="4" r:id="rId9"/>
  </sheets>
  <definedNames>
    <definedName name="_xlcn.WorksheetConnection_SalesRevenue_Dashboard.xlsxTable21" hidden="1">Table2[]</definedName>
    <definedName name="Slicer_Category">#N/A</definedName>
    <definedName name="Slicer_Order_Date">#N/A</definedName>
  </definedNames>
  <calcPr calcId="191029"/>
  <pivotCaches>
    <pivotCache cacheId="15" r:id="rId10"/>
    <pivotCache cacheId="25" r:id="rId11"/>
    <pivotCache cacheId="37"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SalesRevenue_Dashboard.xlsx!Table2"/>
        </x15:modelTables>
      </x15:dataModel>
    </ext>
  </extLst>
</workbook>
</file>

<file path=xl/calcChain.xml><?xml version="1.0" encoding="utf-8"?>
<calcChain xmlns="http://schemas.openxmlformats.org/spreadsheetml/2006/main">
  <c r="B7" i="4" l="1"/>
  <c r="H2" i="1"/>
  <c r="H3" i="1"/>
  <c r="H4" i="1"/>
  <c r="H5" i="1"/>
  <c r="H6" i="1"/>
  <c r="H7" i="1"/>
  <c r="H8" i="1"/>
  <c r="H9" i="1"/>
  <c r="H10" i="1"/>
  <c r="H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0496F2-15F2-4DE7-866E-34687A03787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51DB42D-6542-418E-BFF9-75355F6E50EE}" name="WorksheetConnection_SalesRevenue_Dashboard.xlsx!Table2" type="102" refreshedVersion="8" minRefreshableVersion="5">
    <extLst>
      <ext xmlns:x15="http://schemas.microsoft.com/office/spreadsheetml/2010/11/main" uri="{DE250136-89BD-433C-8126-D09CA5730AF9}">
        <x15:connection id="Table2" autoDelete="1">
          <x15:rangePr sourceName="_xlcn.WorksheetConnection_SalesRevenue_Dashboard.xlsxTable21"/>
        </x15:connection>
      </ext>
    </extLst>
  </connection>
</connections>
</file>

<file path=xl/sharedStrings.xml><?xml version="1.0" encoding="utf-8"?>
<sst xmlns="http://schemas.openxmlformats.org/spreadsheetml/2006/main" count="292" uniqueCount="47">
  <si>
    <t>Order_ID</t>
  </si>
  <si>
    <t>Order_Date</t>
  </si>
  <si>
    <t>Product_ID</t>
  </si>
  <si>
    <t>Category</t>
  </si>
  <si>
    <t>Quantity</t>
  </si>
  <si>
    <t>Unit_Price</t>
  </si>
  <si>
    <t>ORD1001</t>
  </si>
  <si>
    <t>PROD-A32</t>
  </si>
  <si>
    <t>Electronics</t>
  </si>
  <si>
    <t>ORD1002</t>
  </si>
  <si>
    <t>PROD-B11</t>
  </si>
  <si>
    <t>Clothing</t>
  </si>
  <si>
    <t>ORD1003</t>
  </si>
  <si>
    <t>Home</t>
  </si>
  <si>
    <t>ORD1004</t>
  </si>
  <si>
    <t>ORD1005</t>
  </si>
  <si>
    <t>PROD-C88</t>
  </si>
  <si>
    <t>ORD1006</t>
  </si>
  <si>
    <t>ORD1007</t>
  </si>
  <si>
    <t>PROD-D44</t>
  </si>
  <si>
    <t>ORD1008</t>
  </si>
  <si>
    <t>ORD1009</t>
  </si>
  <si>
    <t>ORD1010</t>
  </si>
  <si>
    <t>Column1</t>
  </si>
  <si>
    <t>Column2</t>
  </si>
  <si>
    <t>Unknown</t>
  </si>
  <si>
    <t>Total-Revenue</t>
  </si>
  <si>
    <t>Row Labels</t>
  </si>
  <si>
    <t>Grand Total</t>
  </si>
  <si>
    <t>#VALUE!</t>
  </si>
  <si>
    <t>₹ 300.00</t>
  </si>
  <si>
    <t>₹ 125.00</t>
  </si>
  <si>
    <t>₹ 150.00</t>
  </si>
  <si>
    <t>₹ 50.00</t>
  </si>
  <si>
    <t>₹ 240.00</t>
  </si>
  <si>
    <t>₹ 500.00</t>
  </si>
  <si>
    <t>₹ 450.00</t>
  </si>
  <si>
    <t>₹ 900.00</t>
  </si>
  <si>
    <t>Sum of Total-Revenue</t>
  </si>
  <si>
    <t>Total-Revenue2</t>
  </si>
  <si>
    <t>Details for Sum of Total-Revenue</t>
  </si>
  <si>
    <t>TOTAL REVENUE</t>
  </si>
  <si>
    <t>SALES PERFORMANCE DASHBOARD</t>
  </si>
  <si>
    <t>Sum</t>
  </si>
  <si>
    <t>Average</t>
  </si>
  <si>
    <t>Running Total</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</si>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</sst>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16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indent="1"/>
    </xf>
    <xf numFmtId="0" fontId="0" fillId="0" borderId="0" xfId="0" applyAlignment="1">
      <alignment horizontal="left"/>
    </xf>
    <xf numFmtId="0" fontId="0" fillId="0" borderId="0" xfId="0" applyNumberFormat="1"/>
    <xf numFmtId="165" fontId="0" fillId="0" borderId="0" xfId="0" applyNumberFormat="1"/>
    <xf numFmtId="0" fontId="1" fillId="0" borderId="0" xfId="0" applyFont="1"/>
    <xf numFmtId="14" fontId="0" fillId="2" borderId="0" xfId="0" applyNumberFormat="1" applyFill="1" applyAlignment="1">
      <alignment horizontal="center"/>
    </xf>
    <xf numFmtId="164" fontId="0" fillId="2" borderId="0" xfId="0" applyNumberFormat="1" applyFill="1" applyAlignment="1">
      <alignment horizontal="center"/>
    </xf>
  </cellXfs>
  <cellStyles count="1">
    <cellStyle name="Normal" xfId="0" builtinId="0"/>
  </cellStyles>
  <dxfs count="6">
    <dxf>
      <numFmt numFmtId="19" formatCode="dd/mm/yyyy"/>
    </dxf>
    <dxf>
      <numFmt numFmtId="19" formatCode="dd/mm/yyyy"/>
    </dxf>
    <dxf>
      <numFmt numFmtId="19" formatCode="dd/mm/yyyy"/>
    </dxf>
    <dxf>
      <numFmt numFmtId="19" formatCode="dd/mm/yyyy"/>
    </dxf>
    <dxf>
      <numFmt numFmtId="164" formatCode="&quot;₹&quot;\ #,##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[SalesRevenue_Dashboard .(FINAL).xlsx]CALCULATIONS!PivotTable1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CALCULATIONS!$B$3</c:f>
              <c:strCache>
                <c:ptCount val="1"/>
                <c:pt idx="0">
                  <c:v>Total</c:v>
                </c:pt>
              </c:strCache>
            </c:strRef>
          </c:tx>
          <c:spPr>
            <a:ln w="28575" cap="rnd">
              <a:solidFill>
                <a:schemeClr val="accent1"/>
              </a:solidFill>
              <a:round/>
            </a:ln>
            <a:effectLst/>
          </c:spPr>
          <c:marker>
            <c:symbol val="none"/>
          </c:marker>
          <c:cat>
            <c:strRef>
              <c:f>CALCULATIONS!$A$4:$A$14</c:f>
              <c:strCache>
                <c:ptCount val="10"/>
                <c:pt idx="0">
                  <c:v>15-01-2026</c:v>
                </c:pt>
                <c:pt idx="1">
                  <c:v>16-01-2026</c:v>
                </c:pt>
                <c:pt idx="2">
                  <c:v>17-01-2026</c:v>
                </c:pt>
                <c:pt idx="3">
                  <c:v>18-01-2026</c:v>
                </c:pt>
                <c:pt idx="4">
                  <c:v>19-01-2026</c:v>
                </c:pt>
                <c:pt idx="5">
                  <c:v>20-01-2026</c:v>
                </c:pt>
                <c:pt idx="6">
                  <c:v>21-01-2026</c:v>
                </c:pt>
                <c:pt idx="7">
                  <c:v>22-01-2026</c:v>
                </c:pt>
                <c:pt idx="8">
                  <c:v>23-01-2026</c:v>
                </c:pt>
                <c:pt idx="9">
                  <c:v>24-01-2026</c:v>
                </c:pt>
              </c:strCache>
            </c:strRef>
          </c:cat>
          <c:val>
            <c:numRef>
              <c:f>CALCULATIONS!$B$4:$B$14</c:f>
              <c:numCache>
                <c:formatCode>"₹"\ #,##0</c:formatCode>
                <c:ptCount val="10"/>
                <c:pt idx="0">
                  <c:v>300</c:v>
                </c:pt>
                <c:pt idx="1">
                  <c:v>125</c:v>
                </c:pt>
                <c:pt idx="2">
                  <c:v>300</c:v>
                </c:pt>
                <c:pt idx="3">
                  <c:v>150</c:v>
                </c:pt>
                <c:pt idx="4">
                  <c:v>360</c:v>
                </c:pt>
                <c:pt idx="5">
                  <c:v>50</c:v>
                </c:pt>
                <c:pt idx="6">
                  <c:v>240</c:v>
                </c:pt>
                <c:pt idx="7">
                  <c:v>500</c:v>
                </c:pt>
                <c:pt idx="8">
                  <c:v>450</c:v>
                </c:pt>
                <c:pt idx="9">
                  <c:v>900</c:v>
                </c:pt>
              </c:numCache>
            </c:numRef>
          </c:val>
          <c:smooth val="0"/>
          <c:extLst>
            <c:ext xmlns:c16="http://schemas.microsoft.com/office/drawing/2014/chart" uri="{C3380CC4-5D6E-409C-BE32-E72D297353CC}">
              <c16:uniqueId val="{00000000-F045-49C7-9D99-D26BFC22F752}"/>
            </c:ext>
          </c:extLst>
        </c:ser>
        <c:dLbls>
          <c:showLegendKey val="0"/>
          <c:showVal val="0"/>
          <c:showCatName val="0"/>
          <c:showSerName val="0"/>
          <c:showPercent val="0"/>
          <c:showBubbleSize val="0"/>
        </c:dLbls>
        <c:smooth val="0"/>
        <c:axId val="412116000"/>
        <c:axId val="412118880"/>
      </c:lineChart>
      <c:catAx>
        <c:axId val="41211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18880"/>
        <c:crosses val="autoZero"/>
        <c:auto val="1"/>
        <c:lblAlgn val="ctr"/>
        <c:lblOffset val="100"/>
        <c:noMultiLvlLbl val="0"/>
      </c:catAx>
      <c:valAx>
        <c:axId val="4121188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1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[SalesRevenue_Dashboard .(FINAL).xlsx]CALCULATIONS!PivotTable4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CALCULATIONS!$E$3</c:f>
              <c:strCache>
                <c:ptCount val="1"/>
                <c:pt idx="0">
                  <c:v>Total</c:v>
                </c:pt>
              </c:strCache>
            </c:strRef>
          </c:tx>
          <c:spPr>
            <a:solidFill>
              <a:schemeClr val="accent1"/>
            </a:solidFill>
            <a:ln>
              <a:noFill/>
            </a:ln>
            <a:effectLst/>
          </c:spPr>
          <c:invertIfNegative val="0"/>
          <c:cat>
            <c:strRef>
              <c:f>CALCULATIONS!$D$4:$D$9</c:f>
              <c:strCache>
                <c:ptCount val="5"/>
                <c:pt idx="0">
                  <c:v>PROD-A32</c:v>
                </c:pt>
                <c:pt idx="1">
                  <c:v>PROD-B11</c:v>
                </c:pt>
                <c:pt idx="2">
                  <c:v>PROD-C88</c:v>
                </c:pt>
                <c:pt idx="3">
                  <c:v>PROD-D44</c:v>
                </c:pt>
                <c:pt idx="4">
                  <c:v>Unknown</c:v>
                </c:pt>
              </c:strCache>
            </c:strRef>
          </c:cat>
          <c:val>
            <c:numRef>
              <c:f>CALCULATIONS!$E$4:$E$9</c:f>
              <c:numCache>
                <c:formatCode>"₹"\ #,##0</c:formatCode>
                <c:ptCount val="5"/>
                <c:pt idx="0">
                  <c:v>1350</c:v>
                </c:pt>
                <c:pt idx="1">
                  <c:v>175</c:v>
                </c:pt>
                <c:pt idx="2">
                  <c:v>810</c:v>
                </c:pt>
                <c:pt idx="3">
                  <c:v>240</c:v>
                </c:pt>
                <c:pt idx="4">
                  <c:v>800</c:v>
                </c:pt>
              </c:numCache>
            </c:numRef>
          </c:val>
          <c:extLst>
            <c:ext xmlns:c16="http://schemas.microsoft.com/office/drawing/2014/chart" uri="{C3380CC4-5D6E-409C-BE32-E72D297353CC}">
              <c16:uniqueId val="{00000000-B81C-4E2E-9153-5470F97F2C72}"/>
            </c:ext>
          </c:extLst>
        </c:ser>
        <c:dLbls>
          <c:showLegendKey val="0"/>
          <c:showVal val="0"/>
          <c:showCatName val="0"/>
          <c:showSerName val="0"/>
          <c:showPercent val="0"/>
          <c:showBubbleSize val="0"/>
        </c:dLbls>
        <c:gapWidth val="182"/>
        <c:axId val="1268009056"/>
        <c:axId val="1268011936"/>
      </c:barChart>
      <c:catAx>
        <c:axId val="1268009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011936"/>
        <c:crosses val="autoZero"/>
        <c:auto val="1"/>
        <c:lblAlgn val="ctr"/>
        <c:lblOffset val="100"/>
        <c:noMultiLvlLbl val="0"/>
      </c:catAx>
      <c:valAx>
        <c:axId val="126801193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00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[SalesRevenue_Dashboard .(FINAL).xlsx]CALCULATIONS!PivotTable5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CALCULATIONS!$H$3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A3-46F3-A45A-0EE662B6E2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A3-46F3-A45A-0EE662B6E2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A3-46F3-A45A-0EE662B6E2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A3-46F3-A45A-0EE662B6E23E}"/>
              </c:ext>
            </c:extLst>
          </c:dPt>
          <c:cat>
            <c:strRef>
              <c:f>CALCULATIONS!$G$4:$G$8</c:f>
              <c:strCache>
                <c:ptCount val="4"/>
                <c:pt idx="0">
                  <c:v>Clothing</c:v>
                </c:pt>
                <c:pt idx="1">
                  <c:v>Electronics</c:v>
                </c:pt>
                <c:pt idx="2">
                  <c:v>Home</c:v>
                </c:pt>
                <c:pt idx="3">
                  <c:v>Unknown</c:v>
                </c:pt>
              </c:strCache>
            </c:strRef>
          </c:cat>
          <c:val>
            <c:numRef>
              <c:f>CALCULATIONS!$H$4:$H$8</c:f>
              <c:numCache>
                <c:formatCode>General</c:formatCode>
                <c:ptCount val="4"/>
                <c:pt idx="0">
                  <c:v>625</c:v>
                </c:pt>
                <c:pt idx="1">
                  <c:v>950</c:v>
                </c:pt>
                <c:pt idx="2">
                  <c:v>540</c:v>
                </c:pt>
                <c:pt idx="3">
                  <c:v>1260</c:v>
                </c:pt>
              </c:numCache>
            </c:numRef>
          </c:val>
          <c:extLst>
            <c:ext xmlns:c16="http://schemas.microsoft.com/office/drawing/2014/chart" uri="{C3380CC4-5D6E-409C-BE32-E72D297353CC}">
              <c16:uniqueId val="{00000008-CCA3-46F3-A45A-0EE662B6E2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721896</xdr:colOff>
      <xdr:row>11</xdr:row>
      <xdr:rowOff>73216</xdr:rowOff>
    </xdr:from>
    <xdr:to>
      <xdr:col>10</xdr:col>
      <xdr:colOff>461210</xdr:colOff>
      <xdr:row>36</xdr:row>
      <xdr:rowOff>0</xdr:rowOff>
    </xdr:to>
    <xdr:graphicFrame macro="">
      <xdr:nvGraphicFramePr>
        <xdr:cNvPr id="3" name="Chart 2">
          <a:extLst>
            <a:ext uri="{FF2B5EF4-FFF2-40B4-BE49-F238E27FC236}">
              <a16:creationId xmlns:a16="http://schemas.microsoft.com/office/drawing/2014/main" id="{AF1C579C-297A-4899-9D0A-22E57F5C9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150449</xdr:colOff>
      <xdr:row>11</xdr:row>
      <xdr:rowOff>1185</xdr:rowOff>
    </xdr:from>
    <xdr:to>
      <xdr:col>24</xdr:col>
      <xdr:colOff>360948</xdr:colOff>
      <xdr:row>36</xdr:row>
      <xdr:rowOff>1</xdr:rowOff>
    </xdr:to>
    <xdr:graphicFrame macro="">
      <xdr:nvGraphicFramePr>
        <xdr:cNvPr id="4" name="Chart 3">
          <a:extLst>
            <a:ext uri="{FF2B5EF4-FFF2-40B4-BE49-F238E27FC236}">
              <a16:creationId xmlns:a16="http://schemas.microsoft.com/office/drawing/2014/main" id="{FBD4ED42-756C-414D-B9D6-9DAA10571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766745</xdr:colOff>
      <xdr:row>39</xdr:row>
      <xdr:rowOff>79356</xdr:rowOff>
    </xdr:from>
    <xdr:to>
      <xdr:col>9</xdr:col>
      <xdr:colOff>208206</xdr:colOff>
      <xdr:row>62</xdr:row>
      <xdr:rowOff>117331</xdr:rowOff>
    </xdr:to>
    <xdr:graphicFrame macro="">
      <xdr:nvGraphicFramePr>
        <xdr:cNvPr id="5" name="Chart 4">
          <a:extLst>
            <a:ext uri="{FF2B5EF4-FFF2-40B4-BE49-F238E27FC236}">
              <a16:creationId xmlns:a16="http://schemas.microsoft.com/office/drawing/2014/main" id="{0ECD4BB0-A51B-49F4-AC8D-AA19173EE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443857</xdr:colOff>
      <xdr:row>40</xdr:row>
      <xdr:rowOff>5922</xdr:rowOff>
    </xdr:from>
    <xdr:to>
      <xdr:col>19</xdr:col>
      <xdr:colOff>452324</xdr:colOff>
      <xdr:row>54</xdr:row>
      <xdr:rowOff>23603</xdr:rowOff>
    </xdr:to>
    <mc:AlternateContent xmlns:mc="http://schemas.openxmlformats.org/markup-compatibility/2006">
      <mc:Choice xmlns:a14="http://schemas.microsoft.com/office/drawing/2010/main" Requires="a14">
        <xdr:graphicFrame macro="">
          <xdr:nvGraphicFramePr>
            <xdr:cNvPr id="6" name="Order_Date">
              <a:extLst>
                <a:ext uri="{FF2B5EF4-FFF2-40B4-BE49-F238E27FC236}">
                  <a16:creationId xmlns:a16="http://schemas.microsoft.com/office/drawing/2014/main" id="{9AC94A80-F7DB-66FD-9497-078C2AF9D804}"/>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11857644" y="7139539"/>
              <a:ext cx="1856723" cy="2514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151519</xdr:colOff>
      <xdr:row>39</xdr:row>
      <xdr:rowOff>143535</xdr:rowOff>
    </xdr:from>
    <xdr:to>
      <xdr:col>15</xdr:col>
      <xdr:colOff>159986</xdr:colOff>
      <xdr:row>53</xdr:row>
      <xdr:rowOff>156589</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9C83889E-D22E-EA03-741E-BC0F39062BB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100966" y="7098812"/>
              <a:ext cx="1856722" cy="2509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chard Williyam" refreshedDate="46179.520454745369" backgroundQuery="1" createdVersion="8" refreshedVersion="8" minRefreshableVersion="3" recordCount="0" supportSubquery="1" supportAdvancedDrill="1" xr:uid="{96C73F74-C08C-4AF5-AB6C-FC1E7FBDB913}">
  <cacheSource type="external" connectionId="1"/>
  <cacheFields count="2">
    <cacheField name="[Table2].[Order_Date].[Order_Date]" caption="Order_Date" numFmtId="0" hierarchy="1" level="1">
      <sharedItems containsSemiMixedTypes="0" containsNonDate="0" containsDate="1" containsString="0" minDate="2026-01-15T00:00:00" maxDate="2026-01-25T00:00:00" count="10">
        <d v="2026-01-15T00:00:00"/>
        <d v="2026-01-16T00:00:00"/>
        <d v="2026-01-17T00:00:00"/>
        <d v="2026-01-18T00:00:00"/>
        <d v="2026-01-19T00:00:00"/>
        <d v="2026-01-20T00:00:00"/>
        <d v="2026-01-21T00:00:00"/>
        <d v="2026-01-22T00:00:00"/>
        <d v="2026-01-23T00:00:00"/>
        <d v="2026-01-24T00:00:00"/>
      </sharedItems>
    </cacheField>
    <cacheField name="[Table2].[Total-Revenue].[Total-Revenue]" caption="Total-Revenue" numFmtId="0" hierarchy="7" level="1">
      <sharedItems count="9">
        <s v="₹ 300.00"/>
        <s v="₹ 125.00"/>
        <s v="₹ 150.00"/>
        <s v="#VALUE!"/>
        <s v="₹ 50.00"/>
        <s v="₹ 240.00"/>
        <s v="₹ 500.00"/>
        <s v="₹ 450.00"/>
        <s v="₹ 900.00"/>
      </sharedItems>
    </cacheField>
  </cacheFields>
  <cacheHierarchies count="11">
    <cacheHierarchy uniqueName="[Table2].[Order_ID]" caption="Order_ID" attribute="1" defaultMemberUniqueName="[Table2].[Order_ID].[All]" allUniqueName="[Table2].[Order_ID].[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2" memberValueDatatype="7" unbalanced="0">
      <fieldsUsage count="2">
        <fieldUsage x="-1"/>
        <fieldUsage x="0"/>
      </fieldsUsage>
    </cacheHierarchy>
    <cacheHierarchy uniqueName="[Table2].[Product_ID]" caption="Product_ID" attribute="1" defaultMemberUniqueName="[Table2].[Product_ID].[All]" allUniqueName="[Table2].[Product_ID].[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130" unbalanced="0"/>
    <cacheHierarchy uniqueName="[Table2].[Unit_Price]" caption="Unit_Price" attribute="1" defaultMemberUniqueName="[Table2].[Unit_Price].[All]" allUniqueName="[Table2].[Unit_Price].[All]" dimensionUniqueName="[Table2]" displayFolder="" count="0" memberValueDatatype="20" unbalanced="0"/>
    <cacheHierarchy uniqueName="[Table2].[Column1]" caption="Column1" attribute="1" defaultMemberUniqueName="[Table2].[Column1].[All]" allUniqueName="[Table2].[Column1].[All]" dimensionUniqueName="[Table2]" displayFolder="" count="0" memberValueDatatype="130" unbalanced="0"/>
    <cacheHierarchy uniqueName="[Table2].[Total-Revenue]" caption="Total-Revenue" attribute="1" defaultMemberUniqueName="[Table2].[Total-Revenue].[All]" allUniqueName="[Table2].[Total-Revenue].[All]" dimensionUniqueName="[Table2]" displayFolder="" count="2" memberValueDatatype="130" unbalanced="0">
      <fieldsUsage count="2">
        <fieldUsage x="-1"/>
        <fieldUsage x="1"/>
      </fieldsUsage>
    </cacheHierarchy>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otal-Revenue]" caption="Count of Total-Revenue" measure="1" displayFolder="" measureGroup="Table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chard Williyam" refreshedDate="46179.524343634257" backgroundQuery="1" createdVersion="8" refreshedVersion="8" minRefreshableVersion="3" recordCount="0" supportSubquery="1" supportAdvancedDrill="1" xr:uid="{2A5E9C2E-835C-4E09-B27C-67519D1885A2}">
  <cacheSource type="external" connectionId="1"/>
  <cacheFields count="2">
    <cacheField name="[Table2].[Order_Date].[Order_Date]" caption="Order_Date" numFmtId="0" hierarchy="1" level="1">
      <sharedItems containsSemiMixedTypes="0" containsNonDate="0" containsDate="1" containsString="0" minDate="2026-01-15T00:00:00" maxDate="2026-01-25T00:00:00" count="10">
        <d v="2026-01-15T00:00:00"/>
        <d v="2026-01-16T00:00:00"/>
        <d v="2026-01-17T00:00:00"/>
        <d v="2026-01-18T00:00:00"/>
        <d v="2026-01-19T00:00:00"/>
        <d v="2026-01-20T00:00:00"/>
        <d v="2026-01-21T00:00:00"/>
        <d v="2026-01-22T00:00:00"/>
        <d v="2026-01-23T00:00:00"/>
        <d v="2026-01-24T00:00:00"/>
      </sharedItems>
    </cacheField>
    <cacheField name="[Measures].[Count of Total-Revenue]" caption="Count of Total-Revenue" numFmtId="0" hierarchy="10" level="32767"/>
  </cacheFields>
  <cacheHierarchies count="11">
    <cacheHierarchy uniqueName="[Table2].[Order_ID]" caption="Order_ID" attribute="1" defaultMemberUniqueName="[Table2].[Order_ID].[All]" allUniqueName="[Table2].[Order_ID].[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2" memberValueDatatype="7" unbalanced="0">
      <fieldsUsage count="2">
        <fieldUsage x="-1"/>
        <fieldUsage x="0"/>
      </fieldsUsage>
    </cacheHierarchy>
    <cacheHierarchy uniqueName="[Table2].[Product_ID]" caption="Product_ID" attribute="1" defaultMemberUniqueName="[Table2].[Product_ID].[All]" allUniqueName="[Table2].[Product_ID].[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130" unbalanced="0"/>
    <cacheHierarchy uniqueName="[Table2].[Unit_Price]" caption="Unit_Price" attribute="1" defaultMemberUniqueName="[Table2].[Unit_Price].[All]" allUniqueName="[Table2].[Unit_Price].[All]" dimensionUniqueName="[Table2]" displayFolder="" count="0" memberValueDatatype="20" unbalanced="0"/>
    <cacheHierarchy uniqueName="[Table2].[Column1]" caption="Column1" attribute="1" defaultMemberUniqueName="[Table2].[Column1].[All]" allUniqueName="[Table2].[Column1].[All]" dimensionUniqueName="[Table2]" displayFolder="" count="0" memberValueDatatype="130" unbalanced="0"/>
    <cacheHierarchy uniqueName="[Table2].[Total-Revenue]" caption="Total-Revenue" attribute="1" defaultMemberUniqueName="[Table2].[Total-Revenue].[All]" allUniqueName="[Table2].[Total-Revenue].[All]" dimensionUniqueName="[Table2]" displayFolder="" count="2"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otal-Revenue]" caption="Count of Total-Revenue" measure="1" displayFolder="" measureGroup="Table2"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chard Williyam" refreshedDate="46179.558269791669" createdVersion="8" refreshedVersion="8" minRefreshableVersion="3" recordCount="10" xr:uid="{72873D98-1436-4F4E-B928-27B2D9812928}">
  <cacheSource type="worksheet">
    <worksheetSource name="Table2"/>
  </cacheSource>
  <cacheFields count="8">
    <cacheField name="Order_ID" numFmtId="0">
      <sharedItems/>
    </cacheField>
    <cacheField name="Order_Date" numFmtId="14">
      <sharedItems containsSemiMixedTypes="0" containsNonDate="0" containsDate="1" containsString="0" minDate="2026-01-15T00:00:00" maxDate="2026-01-25T00:00:00" count="10">
        <d v="2026-01-15T00:00:00"/>
        <d v="2026-01-16T00:00:00"/>
        <d v="2026-01-17T00:00:00"/>
        <d v="2026-01-18T00:00:00"/>
        <d v="2026-01-19T00:00:00"/>
        <d v="2026-01-20T00:00:00"/>
        <d v="2026-01-21T00:00:00"/>
        <d v="2026-01-22T00:00:00"/>
        <d v="2026-01-23T00:00:00"/>
        <d v="2026-01-24T00:00:00"/>
      </sharedItems>
    </cacheField>
    <cacheField name="Product_ID" numFmtId="0">
      <sharedItems count="5">
        <s v="PROD-A32"/>
        <s v="PROD-B11"/>
        <s v="Unknown"/>
        <s v="PROD-C88"/>
        <s v="PROD-D44"/>
      </sharedItems>
    </cacheField>
    <cacheField name="Category" numFmtId="0">
      <sharedItems count="4">
        <s v="Electronics"/>
        <s v="Clothing"/>
        <s v="Home"/>
        <s v="Unknown"/>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25" maxValue="500"/>
    </cacheField>
    <cacheField name="Column1" numFmtId="0">
      <sharedItems/>
    </cacheField>
    <cacheField name="Total-Revenue" numFmtId="164">
      <sharedItems containsSemiMixedTypes="0" containsString="0" containsNumber="1" containsInteger="1" minValue="50" maxValue="900"/>
    </cacheField>
  </cacheFields>
  <extLst>
    <ext xmlns:x14="http://schemas.microsoft.com/office/spreadsheetml/2009/9/main" uri="{725AE2AE-9491-48be-B2B4-4EB974FC3084}">
      <x14:pivotCacheDefinition pivotCacheId="14594920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ORD1001"/>
    <x v="0"/>
    <x v="0"/>
    <x v="0"/>
    <n v="2"/>
    <n v="150"/>
    <s v="Unknown"/>
    <n v="300"/>
  </r>
  <r>
    <s v="ORD1002"/>
    <x v="1"/>
    <x v="1"/>
    <x v="1"/>
    <n v="5"/>
    <n v="25"/>
    <s v="Unknown"/>
    <n v="125"/>
  </r>
  <r>
    <s v="ORD1003"/>
    <x v="2"/>
    <x v="2"/>
    <x v="2"/>
    <n v="1"/>
    <n v="300"/>
    <s v="Unknown"/>
    <n v="300"/>
  </r>
  <r>
    <s v="ORD1004"/>
    <x v="3"/>
    <x v="0"/>
    <x v="0"/>
    <n v="1"/>
    <n v="150"/>
    <s v="Unknown"/>
    <n v="150"/>
  </r>
  <r>
    <s v="ORD1005"/>
    <x v="4"/>
    <x v="3"/>
    <x v="3"/>
    <n v="8"/>
    <n v="45"/>
    <s v="Unknown"/>
    <n v="360"/>
  </r>
  <r>
    <s v="ORD1006"/>
    <x v="5"/>
    <x v="1"/>
    <x v="1"/>
    <n v="2"/>
    <n v="25"/>
    <s v="Unknown"/>
    <n v="50"/>
  </r>
  <r>
    <s v="ORD1007"/>
    <x v="6"/>
    <x v="4"/>
    <x v="2"/>
    <n v="3"/>
    <n v="80"/>
    <s v="Unknown"/>
    <n v="240"/>
  </r>
  <r>
    <s v="ORD1008"/>
    <x v="7"/>
    <x v="2"/>
    <x v="0"/>
    <n v="1"/>
    <n v="500"/>
    <s v="Unknown"/>
    <n v="500"/>
  </r>
  <r>
    <s v="ORD1009"/>
    <x v="8"/>
    <x v="3"/>
    <x v="1"/>
    <n v="10"/>
    <n v="45"/>
    <s v="Unknown"/>
    <n v="450"/>
  </r>
  <r>
    <s v="ORD1010"/>
    <x v="9"/>
    <x v="0"/>
    <x v="3"/>
    <n v="6"/>
    <n v="150"/>
    <s v="Unknown"/>
    <n v="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C7A0DE-2503-4ACD-A2BA-846BA014D9FE}"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4" firstHeaderRow="1" firstDataRow="1" firstDataCol="1"/>
  <pivotFields count="2">
    <pivotField axis="axisRow" allDrilled="1" showAll="0" dataSourceSort="1" defaultAttributeDrillState="1">
      <items count="11">
        <item x="0"/>
        <item x="1"/>
        <item x="2"/>
        <item x="3"/>
        <item x="4"/>
        <item x="5"/>
        <item x="6"/>
        <item x="7"/>
        <item x="8"/>
        <item x="9"/>
        <item t="default"/>
      </items>
    </pivotField>
    <pivotField axis="axisRow" allDrilled="1" showAll="0" dataSourceSort="1" defaultAttributeDrillState="1">
      <items count="10">
        <item x="0"/>
        <item x="1"/>
        <item x="2"/>
        <item x="3"/>
        <item x="4"/>
        <item x="5"/>
        <item x="6"/>
        <item x="7"/>
        <item x="8"/>
        <item t="default"/>
      </items>
    </pivotField>
  </pivotFields>
  <rowFields count="2">
    <field x="0"/>
    <field x="1"/>
  </rowFields>
  <rowItems count="21">
    <i>
      <x/>
    </i>
    <i r="1">
      <x/>
    </i>
    <i>
      <x v="1"/>
    </i>
    <i r="1">
      <x v="1"/>
    </i>
    <i>
      <x v="2"/>
    </i>
    <i r="1">
      <x/>
    </i>
    <i>
      <x v="3"/>
    </i>
    <i r="1">
      <x v="2"/>
    </i>
    <i>
      <x v="4"/>
    </i>
    <i r="1">
      <x v="3"/>
    </i>
    <i>
      <x v="5"/>
    </i>
    <i r="1">
      <x v="4"/>
    </i>
    <i>
      <x v="6"/>
    </i>
    <i r="1">
      <x v="5"/>
    </i>
    <i>
      <x v="7"/>
    </i>
    <i r="1">
      <x v="6"/>
    </i>
    <i>
      <x v="8"/>
    </i>
    <i r="1">
      <x v="7"/>
    </i>
    <i>
      <x v="9"/>
    </i>
    <i r="1">
      <x v="8"/>
    </i>
    <i t="grand">
      <x/>
    </i>
  </rowItems>
  <pivotHierarchies count="1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Revenue_Dashboard.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29A57A-B386-4A98-A51D-9D6EBB90BF6D}"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
    <pivotField axis="axisRow" allDrilled="1" showAll="0" dataSourceSort="1" defaultAttributeDrillState="1">
      <items count="11">
        <item x="0"/>
        <item x="1"/>
        <item x="2"/>
        <item x="3"/>
        <item x="4"/>
        <item x="5"/>
        <item x="6"/>
        <item x="7"/>
        <item x="8"/>
        <item x="9"/>
        <item t="default"/>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Total-Revenue" fld="1" subtotal="count" baseField="0" baseItem="1" numFmtId="165"/>
  </dataFields>
  <pivotHierarchies count="1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Revenue"/>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Revenue_Dashboard.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5B9917-6881-48A9-991E-3EB201DCB6E8}" name="PivotTable5"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8" firstHeaderRow="1" firstDataRow="1" firstDataCol="1"/>
  <pivotFields count="8">
    <pivotField showAll="0"/>
    <pivotField numFmtId="14" showAll="0">
      <items count="11">
        <item x="0"/>
        <item x="1"/>
        <item x="2"/>
        <item x="3"/>
        <item x="4"/>
        <item x="5"/>
        <item x="6"/>
        <item x="7"/>
        <item x="8"/>
        <item x="9"/>
        <item t="default"/>
      </items>
    </pivotField>
    <pivotField showAll="0"/>
    <pivotField axis="axisRow" showAll="0">
      <items count="5">
        <item x="1"/>
        <item x="0"/>
        <item x="2"/>
        <item x="3"/>
        <item t="default"/>
      </items>
    </pivotField>
    <pivotField showAll="0"/>
    <pivotField showAll="0"/>
    <pivotField showAll="0"/>
    <pivotField dataField="1" showAll="0"/>
  </pivotFields>
  <rowFields count="1">
    <field x="3"/>
  </rowFields>
  <rowItems count="5">
    <i>
      <x/>
    </i>
    <i>
      <x v="1"/>
    </i>
    <i>
      <x v="2"/>
    </i>
    <i>
      <x v="3"/>
    </i>
    <i t="grand">
      <x/>
    </i>
  </rowItems>
  <colItems count="1">
    <i/>
  </colItems>
  <dataFields count="1">
    <dataField name="Sum of Total-Revenue" fld="7" baseField="3"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2F857A-F8BB-4C1A-B0D3-3A300599517C}" name="PivotTable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9" firstHeaderRow="1" firstDataRow="1" firstDataCol="1"/>
  <pivotFields count="8">
    <pivotField showAll="0"/>
    <pivotField numFmtId="14" showAll="0">
      <items count="11">
        <item x="0"/>
        <item x="1"/>
        <item x="2"/>
        <item x="3"/>
        <item x="4"/>
        <item x="5"/>
        <item x="6"/>
        <item x="7"/>
        <item x="8"/>
        <item x="9"/>
        <item t="default"/>
      </items>
    </pivotField>
    <pivotField axis="axisRow" showAll="0" sortType="ascending">
      <items count="6">
        <item x="0"/>
        <item x="1"/>
        <item x="3"/>
        <item x="4"/>
        <item x="2"/>
        <item t="default"/>
      </items>
    </pivotField>
    <pivotField showAll="0">
      <items count="5">
        <item x="1"/>
        <item x="0"/>
        <item x="2"/>
        <item x="3"/>
        <item t="default"/>
      </items>
    </pivotField>
    <pivotField showAll="0"/>
    <pivotField showAll="0"/>
    <pivotField showAll="0"/>
    <pivotField dataField="1" showAll="0"/>
  </pivotFields>
  <rowFields count="1">
    <field x="2"/>
  </rowFields>
  <rowItems count="6">
    <i>
      <x/>
    </i>
    <i>
      <x v="1"/>
    </i>
    <i>
      <x v="2"/>
    </i>
    <i>
      <x v="3"/>
    </i>
    <i>
      <x v="4"/>
    </i>
    <i t="grand">
      <x/>
    </i>
  </rowItems>
  <colItems count="1">
    <i/>
  </colItems>
  <dataFields count="1">
    <dataField name="Total-Revenue2" fld="7" baseField="2"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52F71C-A526-4E2D-9FF8-55203BF789AD}" name="PivotTable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8">
    <pivotField showAll="0"/>
    <pivotField axis="axisRow" numFmtId="14" showAll="0">
      <items count="11">
        <item x="0"/>
        <item x="1"/>
        <item x="2"/>
        <item x="3"/>
        <item x="4"/>
        <item x="5"/>
        <item x="6"/>
        <item x="7"/>
        <item x="8"/>
        <item x="9"/>
        <item t="default"/>
      </items>
    </pivotField>
    <pivotField showAll="0"/>
    <pivotField showAll="0">
      <items count="5">
        <item x="1"/>
        <item x="0"/>
        <item x="2"/>
        <item x="3"/>
        <item t="default"/>
      </items>
    </pivotField>
    <pivotField showAll="0"/>
    <pivotField showAll="0"/>
    <pivotField showAll="0"/>
    <pivotField dataField="1" showAll="0"/>
  </pivotFields>
  <rowFields count="1">
    <field x="1"/>
  </rowFields>
  <rowItems count="11">
    <i>
      <x/>
    </i>
    <i>
      <x v="1"/>
    </i>
    <i>
      <x v="2"/>
    </i>
    <i>
      <x v="3"/>
    </i>
    <i>
      <x v="4"/>
    </i>
    <i>
      <x v="5"/>
    </i>
    <i>
      <x v="6"/>
    </i>
    <i>
      <x v="7"/>
    </i>
    <i>
      <x v="8"/>
    </i>
    <i>
      <x v="9"/>
    </i>
    <i t="grand">
      <x/>
    </i>
  </rowItems>
  <colItems count="1">
    <i/>
  </colItems>
  <dataFields count="1">
    <dataField name="Sum of Total-Revenue" fld="7" baseField="1" baseItem="0" numFmtId="165"/>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7C5001C-8327-475F-96A0-CA2399D68E1B}" sourceName="Order_Date">
  <pivotTables>
    <pivotTable tabId="3" name="PivotTable1"/>
    <pivotTable tabId="3" name="PivotTable4"/>
    <pivotTable tabId="3" name="PivotTable5"/>
  </pivotTables>
  <data>
    <tabular pivotCacheId="1459492045">
      <items count="10">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3250EA-47C5-405A-B6F5-25EC81447DFA}" sourceName="Category">
  <pivotTables>
    <pivotTable tabId="3" name="PivotTable1"/>
    <pivotTable tabId="3" name="PivotTable4"/>
    <pivotTable tabId="3" name="PivotTable5"/>
  </pivotTables>
  <data>
    <tabular pivotCacheId="1459492045">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039F2B1D-9EBA-431A-BD16-0B399C51229A}" cache="Slicer_Order_Date" caption="Order_Date" rowHeight="247650"/>
  <slicer name="Category" xr10:uid="{7A49811A-5F30-4F91-B983-89E3D5668B16}"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9749F1-5BCD-421D-A9F0-7A390DF64AE4}" name="Table2" displayName="Table2" ref="A1:H11" totalsRowShown="0">
  <autoFilter ref="A1:H11" xr:uid="{4A9749F1-5BCD-421D-A9F0-7A390DF64AE4}"/>
  <tableColumns count="8">
    <tableColumn id="1" xr3:uid="{9DD4B1DD-8928-44F6-8FE0-692D165845FC}" name="Order_ID"/>
    <tableColumn id="2" xr3:uid="{CF579A1D-CFFC-4AD3-BFDC-4ABB92EBBB63}" name="Order_Date" dataDxfId="5"/>
    <tableColumn id="3" xr3:uid="{4DB5494B-A025-4F07-8984-1F634DA5B701}" name="Product_ID"/>
    <tableColumn id="4" xr3:uid="{53533312-61E6-4098-9948-48A40BEEBB14}" name="Category"/>
    <tableColumn id="5" xr3:uid="{92FE6C19-E34F-4BF0-91EA-4285D7438D74}" name="Quantity"/>
    <tableColumn id="6" xr3:uid="{D0391A6A-FEEC-4FDE-A455-A9678B9D6B6F}" name="Unit_Price"/>
    <tableColumn id="7" xr3:uid="{A81257AD-4B86-499E-B3DD-F9ADDE4CEF75}" name="Column1"/>
    <tableColumn id="8" xr3:uid="{AE6B7CC2-95E9-4A38-9F1A-9540D9631CAF}" name="Total-Revenue" dataDxfId="4">
      <calculatedColumnFormula>Table2[[#This Row],[Quantity]]*Table2[[#This Row],[Unit_Price]]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DDD620B-D3A4-4FE8-BE42-0F4E4F8BF4F9}" name="Table5" displayName="Table5" ref="A3:H13" totalsRowShown="0">
  <autoFilter ref="A3:H13" xr:uid="{DDDD620B-D3A4-4FE8-BE42-0F4E4F8BF4F9}"/>
  <tableColumns count="8">
    <tableColumn id="1" xr3:uid="{3916E302-9559-4BAA-B5C2-A09BC5B64BED}" name="Order_ID"/>
    <tableColumn id="2" xr3:uid="{A2C56A52-C42D-4F14-9917-1C2F355854D4}" name="Order_Date" dataDxfId="3"/>
    <tableColumn id="3" xr3:uid="{ADF133F7-263F-4E4A-A20A-C0591321D864}" name="Product_ID"/>
    <tableColumn id="4" xr3:uid="{6ED4E01A-56C4-4142-8B38-476C8B55DA5F}" name="Category"/>
    <tableColumn id="5" xr3:uid="{F65707D7-4EBD-42E8-B04F-4FB52B561C6E}" name="Quantity"/>
    <tableColumn id="6" xr3:uid="{DAC3A465-E722-4B5A-BC17-4F6934A47848}" name="Unit_Price"/>
    <tableColumn id="7" xr3:uid="{43DAF57C-9192-4FD0-BB61-2793FD12E808}" name="Column1"/>
    <tableColumn id="8" xr3:uid="{D8642178-8FC8-4050-A0E5-D221AF4CCEAE}" name="Total-Reven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705A661-13A8-46BD-8F1C-1D1604BAC244}" name="Table6" displayName="Table6" ref="A3:H13" totalsRowShown="0">
  <autoFilter ref="A3:H13" xr:uid="{9705A661-13A8-46BD-8F1C-1D1604BAC244}"/>
  <sortState xmlns:xlrd2="http://schemas.microsoft.com/office/spreadsheetml/2017/richdata2" ref="A4:H13">
    <sortCondition ref="H3:H13"/>
  </sortState>
  <tableColumns count="8">
    <tableColumn id="1" xr3:uid="{893DDFC9-B668-4807-AEE7-AF7123C37C27}" name="Order_ID"/>
    <tableColumn id="2" xr3:uid="{BFB8A892-5F84-4999-946E-3DE0E62A1DDF}" name="Order_Date" dataDxfId="2"/>
    <tableColumn id="3" xr3:uid="{88BA0603-2674-4C72-BB06-68FE1894BE77}" name="Product_ID"/>
    <tableColumn id="4" xr3:uid="{D256514E-6573-44E5-86B1-3EDFA01671B0}" name="Category"/>
    <tableColumn id="5" xr3:uid="{AAF0C083-8945-41D7-9D17-36A8FFA0AC74}" name="Quantity"/>
    <tableColumn id="6" xr3:uid="{BFB0E202-3A24-47EA-A935-07E984550629}" name="Unit_Price"/>
    <tableColumn id="7" xr3:uid="{F4EAD609-1D52-48D8-B1E2-CD6DB10CDCB3}" name="Column1"/>
    <tableColumn id="8" xr3:uid="{C56F9603-7CF3-48F8-AAFC-FB657D4E8075}" name="Total-Reven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E1C4E7-BE8A-4290-A854-6D34816C0F5C}" name="Table7" displayName="Table7" ref="A3:H13" totalsRowShown="0">
  <autoFilter ref="A3:H13" xr:uid="{24E1C4E7-BE8A-4290-A854-6D34816C0F5C}"/>
  <sortState xmlns:xlrd2="http://schemas.microsoft.com/office/spreadsheetml/2017/richdata2" ref="A4:H13">
    <sortCondition descending="1" ref="H3:H13"/>
  </sortState>
  <tableColumns count="8">
    <tableColumn id="1" xr3:uid="{3EBCA58C-498E-4B12-9A5A-BAB2264F2613}" name="Order_ID"/>
    <tableColumn id="2" xr3:uid="{E42BB5B8-C0C6-45C5-A6B2-F4B716433CB0}" name="Order_Date" dataDxfId="1"/>
    <tableColumn id="3" xr3:uid="{51AFB626-5712-401A-B87F-6AA70D6A9D6C}" name="Product_ID"/>
    <tableColumn id="4" xr3:uid="{8C757D72-504C-4CFB-BF2B-DFB28E8F0CE0}" name="Category"/>
    <tableColumn id="5" xr3:uid="{96E81B1F-0FC9-4931-9BB4-843185A831EE}" name="Quantity"/>
    <tableColumn id="6" xr3:uid="{B48F564D-7C54-4BFA-A386-EF6693396400}" name="Unit_Price"/>
    <tableColumn id="7" xr3:uid="{5841ACE8-4CE8-4A54-BF30-0D73BD30C26A}" name="Column1"/>
    <tableColumn id="8" xr3:uid="{5F275FEC-F151-4F23-9292-6CD350FF3DA6}" name="Total-Revenu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5AB9B6B-3DE5-4517-83F8-E8DE237F40B5}" name="Table8" displayName="Table8" ref="A3:H13" totalsRowShown="0">
  <autoFilter ref="A3:H13" xr:uid="{15AB9B6B-3DE5-4517-83F8-E8DE237F40B5}"/>
  <tableColumns count="8">
    <tableColumn id="1" xr3:uid="{DF70EA23-4562-47DA-A243-9BE5063B419A}" name="Order_ID"/>
    <tableColumn id="2" xr3:uid="{816BDB98-0674-4A86-A50B-7D58389F224D}" name="Order_Date" dataDxfId="0"/>
    <tableColumn id="3" xr3:uid="{10511966-D68B-4328-B6F8-10E125A03048}" name="Product_ID"/>
    <tableColumn id="4" xr3:uid="{0E7D9E9A-6FAD-44FD-BD3F-AF8FF7C825B2}" name="Category"/>
    <tableColumn id="5" xr3:uid="{206E47DA-9948-4F10-9EAB-4C087C6D01DD}" name="Quantity"/>
    <tableColumn id="6" xr3:uid="{5E1D4B32-07A0-4F57-BBF0-F973B8DC585F}" name="Unit_Price"/>
    <tableColumn id="7" xr3:uid="{7FF2B586-83F0-41F1-BA8A-39623613C4F1}" name="Column1"/>
    <tableColumn id="8" xr3:uid="{F95BECA4-922F-4D98-A1AB-457DCD5CBDE3}" name="Total-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9D194-7D92-44DE-98E7-796697FBF926}">
  <sheetPr>
    <tabColor theme="3" tint="0.499984740745262"/>
  </sheetPr>
  <dimension ref="A1:H11"/>
  <sheetViews>
    <sheetView zoomScale="76" zoomScaleNormal="76" workbookViewId="0">
      <selection activeCell="G21" sqref="G21"/>
    </sheetView>
  </sheetViews>
  <sheetFormatPr defaultRowHeight="14.4" x14ac:dyDescent="0.3"/>
  <cols>
    <col min="1" max="1" width="10.5546875" customWidth="1"/>
    <col min="2" max="2" width="13.5546875" customWidth="1"/>
    <col min="3" max="3" width="12.33203125" customWidth="1"/>
    <col min="4" max="4" width="10.33203125" customWidth="1"/>
    <col min="5" max="5" width="9.88671875" customWidth="1"/>
    <col min="6" max="6" width="11.88671875" customWidth="1"/>
    <col min="7" max="7" width="10.5546875" customWidth="1"/>
    <col min="8" max="8" width="14.88671875" style="2" customWidth="1"/>
    <col min="24" max="24" width="8.88671875" customWidth="1"/>
  </cols>
  <sheetData>
    <row r="1" spans="1:8" x14ac:dyDescent="0.3">
      <c r="A1" t="s">
        <v>0</v>
      </c>
      <c r="B1" t="s">
        <v>1</v>
      </c>
      <c r="C1" t="s">
        <v>2</v>
      </c>
      <c r="D1" t="s">
        <v>3</v>
      </c>
      <c r="E1" t="s">
        <v>4</v>
      </c>
      <c r="F1" t="s">
        <v>5</v>
      </c>
      <c r="G1" t="s">
        <v>23</v>
      </c>
      <c r="H1" s="2" t="s">
        <v>26</v>
      </c>
    </row>
    <row r="2" spans="1:8" x14ac:dyDescent="0.3">
      <c r="A2" t="s">
        <v>6</v>
      </c>
      <c r="B2" s="1">
        <v>46037</v>
      </c>
      <c r="C2" t="s">
        <v>7</v>
      </c>
      <c r="D2" t="s">
        <v>8</v>
      </c>
      <c r="E2">
        <v>2</v>
      </c>
      <c r="F2">
        <v>150</v>
      </c>
      <c r="G2" t="s">
        <v>25</v>
      </c>
      <c r="H2" s="2">
        <f>Table2[[#This Row],[Quantity]]*Table2[[#This Row],[Unit_Price]]</f>
        <v>300</v>
      </c>
    </row>
    <row r="3" spans="1:8" x14ac:dyDescent="0.3">
      <c r="A3" t="s">
        <v>9</v>
      </c>
      <c r="B3" s="1">
        <v>46038</v>
      </c>
      <c r="C3" t="s">
        <v>10</v>
      </c>
      <c r="D3" t="s">
        <v>11</v>
      </c>
      <c r="E3">
        <v>5</v>
      </c>
      <c r="F3">
        <v>25</v>
      </c>
      <c r="G3" t="s">
        <v>25</v>
      </c>
      <c r="H3" s="2">
        <f>Table2[[#This Row],[Quantity]]*Table2[[#This Row],[Unit_Price]]</f>
        <v>125</v>
      </c>
    </row>
    <row r="4" spans="1:8" x14ac:dyDescent="0.3">
      <c r="A4" t="s">
        <v>12</v>
      </c>
      <c r="B4" s="1">
        <v>46039</v>
      </c>
      <c r="C4" t="s">
        <v>25</v>
      </c>
      <c r="D4" t="s">
        <v>13</v>
      </c>
      <c r="E4">
        <v>1</v>
      </c>
      <c r="F4">
        <v>300</v>
      </c>
      <c r="G4" t="s">
        <v>25</v>
      </c>
      <c r="H4" s="2">
        <f>Table2[[#This Row],[Quantity]]*Table2[[#This Row],[Unit_Price]]</f>
        <v>300</v>
      </c>
    </row>
    <row r="5" spans="1:8" x14ac:dyDescent="0.3">
      <c r="A5" t="s">
        <v>14</v>
      </c>
      <c r="B5" s="1">
        <v>46040</v>
      </c>
      <c r="C5" t="s">
        <v>7</v>
      </c>
      <c r="D5" t="s">
        <v>8</v>
      </c>
      <c r="E5">
        <v>1</v>
      </c>
      <c r="F5">
        <v>150</v>
      </c>
      <c r="G5" t="s">
        <v>25</v>
      </c>
      <c r="H5" s="2">
        <f>Table2[[#This Row],[Quantity]]*Table2[[#This Row],[Unit_Price]]</f>
        <v>150</v>
      </c>
    </row>
    <row r="6" spans="1:8" x14ac:dyDescent="0.3">
      <c r="A6" t="s">
        <v>15</v>
      </c>
      <c r="B6" s="1">
        <v>46041</v>
      </c>
      <c r="C6" t="s">
        <v>16</v>
      </c>
      <c r="D6" t="s">
        <v>25</v>
      </c>
      <c r="E6">
        <v>8</v>
      </c>
      <c r="F6">
        <v>45</v>
      </c>
      <c r="G6" t="s">
        <v>25</v>
      </c>
      <c r="H6" s="2">
        <f>Table2[[#This Row],[Quantity]]*Table2[[#This Row],[Unit_Price]]</f>
        <v>360</v>
      </c>
    </row>
    <row r="7" spans="1:8" x14ac:dyDescent="0.3">
      <c r="A7" t="s">
        <v>17</v>
      </c>
      <c r="B7" s="1">
        <v>46042</v>
      </c>
      <c r="C7" t="s">
        <v>10</v>
      </c>
      <c r="D7" t="s">
        <v>11</v>
      </c>
      <c r="E7">
        <v>2</v>
      </c>
      <c r="F7">
        <v>25</v>
      </c>
      <c r="G7" t="s">
        <v>25</v>
      </c>
      <c r="H7" s="2">
        <f>Table2[[#This Row],[Quantity]]*Table2[[#This Row],[Unit_Price]]</f>
        <v>50</v>
      </c>
    </row>
    <row r="8" spans="1:8" x14ac:dyDescent="0.3">
      <c r="A8" t="s">
        <v>18</v>
      </c>
      <c r="B8" s="1">
        <v>46043</v>
      </c>
      <c r="C8" t="s">
        <v>19</v>
      </c>
      <c r="D8" t="s">
        <v>13</v>
      </c>
      <c r="E8">
        <v>3</v>
      </c>
      <c r="F8">
        <v>80</v>
      </c>
      <c r="G8" t="s">
        <v>25</v>
      </c>
      <c r="H8" s="2">
        <f>Table2[[#This Row],[Quantity]]*Table2[[#This Row],[Unit_Price]]</f>
        <v>240</v>
      </c>
    </row>
    <row r="9" spans="1:8" x14ac:dyDescent="0.3">
      <c r="A9" t="s">
        <v>20</v>
      </c>
      <c r="B9" s="1">
        <v>46044</v>
      </c>
      <c r="C9" t="s">
        <v>25</v>
      </c>
      <c r="D9" t="s">
        <v>8</v>
      </c>
      <c r="E9">
        <v>1</v>
      </c>
      <c r="F9">
        <v>500</v>
      </c>
      <c r="G9" t="s">
        <v>25</v>
      </c>
      <c r="H9" s="2">
        <f>Table2[[#This Row],[Quantity]]*Table2[[#This Row],[Unit_Price]]</f>
        <v>500</v>
      </c>
    </row>
    <row r="10" spans="1:8" x14ac:dyDescent="0.3">
      <c r="A10" t="s">
        <v>21</v>
      </c>
      <c r="B10" s="1">
        <v>46045</v>
      </c>
      <c r="C10" t="s">
        <v>16</v>
      </c>
      <c r="D10" t="s">
        <v>11</v>
      </c>
      <c r="E10">
        <v>10</v>
      </c>
      <c r="F10">
        <v>45</v>
      </c>
      <c r="G10" t="s">
        <v>25</v>
      </c>
      <c r="H10" s="2">
        <f>Table2[[#This Row],[Quantity]]*Table2[[#This Row],[Unit_Price]]</f>
        <v>450</v>
      </c>
    </row>
    <row r="11" spans="1:8" x14ac:dyDescent="0.3">
      <c r="A11" t="s">
        <v>22</v>
      </c>
      <c r="B11" s="1">
        <v>46046</v>
      </c>
      <c r="C11" t="s">
        <v>7</v>
      </c>
      <c r="D11" t="s">
        <v>25</v>
      </c>
      <c r="E11">
        <v>6</v>
      </c>
      <c r="F11">
        <v>150</v>
      </c>
      <c r="G11" t="s">
        <v>25</v>
      </c>
      <c r="H11" s="2">
        <f>Table2[[#This Row],[Quantity]]*Table2[[#This Row],[Unit_Price]]</f>
        <v>900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02605-4DBA-4907-84FE-7E7CB2A10427}">
  <dimension ref="A3:A24"/>
  <sheetViews>
    <sheetView workbookViewId="0">
      <selection activeCell="A3" sqref="A3"/>
    </sheetView>
  </sheetViews>
  <sheetFormatPr defaultRowHeight="14.4" x14ac:dyDescent="0.3"/>
  <cols>
    <col min="1" max="1" width="12.44140625" bestFit="1" customWidth="1"/>
  </cols>
  <sheetData>
    <row r="3" spans="1:1" x14ac:dyDescent="0.3">
      <c r="A3" s="3" t="s">
        <v>27</v>
      </c>
    </row>
    <row r="4" spans="1:1" x14ac:dyDescent="0.3">
      <c r="A4" s="4">
        <v>46037</v>
      </c>
    </row>
    <row r="5" spans="1:1" x14ac:dyDescent="0.3">
      <c r="A5" s="5" t="s">
        <v>30</v>
      </c>
    </row>
    <row r="6" spans="1:1" x14ac:dyDescent="0.3">
      <c r="A6" s="4">
        <v>46038</v>
      </c>
    </row>
    <row r="7" spans="1:1" x14ac:dyDescent="0.3">
      <c r="A7" s="5" t="s">
        <v>31</v>
      </c>
    </row>
    <row r="8" spans="1:1" x14ac:dyDescent="0.3">
      <c r="A8" s="4">
        <v>46039</v>
      </c>
    </row>
    <row r="9" spans="1:1" x14ac:dyDescent="0.3">
      <c r="A9" s="5" t="s">
        <v>30</v>
      </c>
    </row>
    <row r="10" spans="1:1" x14ac:dyDescent="0.3">
      <c r="A10" s="4">
        <v>46040</v>
      </c>
    </row>
    <row r="11" spans="1:1" x14ac:dyDescent="0.3">
      <c r="A11" s="5" t="s">
        <v>32</v>
      </c>
    </row>
    <row r="12" spans="1:1" x14ac:dyDescent="0.3">
      <c r="A12" s="4">
        <v>46041</v>
      </c>
    </row>
    <row r="13" spans="1:1" x14ac:dyDescent="0.3">
      <c r="A13" s="5" t="s">
        <v>29</v>
      </c>
    </row>
    <row r="14" spans="1:1" x14ac:dyDescent="0.3">
      <c r="A14" s="4">
        <v>46042</v>
      </c>
    </row>
    <row r="15" spans="1:1" x14ac:dyDescent="0.3">
      <c r="A15" s="5" t="s">
        <v>33</v>
      </c>
    </row>
    <row r="16" spans="1:1" x14ac:dyDescent="0.3">
      <c r="A16" s="4">
        <v>46043</v>
      </c>
    </row>
    <row r="17" spans="1:1" x14ac:dyDescent="0.3">
      <c r="A17" s="5" t="s">
        <v>34</v>
      </c>
    </row>
    <row r="18" spans="1:1" x14ac:dyDescent="0.3">
      <c r="A18" s="4">
        <v>46044</v>
      </c>
    </row>
    <row r="19" spans="1:1" x14ac:dyDescent="0.3">
      <c r="A19" s="5" t="s">
        <v>35</v>
      </c>
    </row>
    <row r="20" spans="1:1" x14ac:dyDescent="0.3">
      <c r="A20" s="4">
        <v>46045</v>
      </c>
    </row>
    <row r="21" spans="1:1" x14ac:dyDescent="0.3">
      <c r="A21" s="5" t="s">
        <v>36</v>
      </c>
    </row>
    <row r="22" spans="1:1" x14ac:dyDescent="0.3">
      <c r="A22" s="4">
        <v>46046</v>
      </c>
    </row>
    <row r="23" spans="1:1" x14ac:dyDescent="0.3">
      <c r="A23" s="5" t="s">
        <v>37</v>
      </c>
    </row>
    <row r="24" spans="1:1" x14ac:dyDescent="0.3">
      <c r="A24" s="6"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51FA8-0044-47B2-A7A1-0872493BDE40}">
  <dimension ref="A3:B14"/>
  <sheetViews>
    <sheetView topLeftCell="B1" workbookViewId="0">
      <selection activeCell="A5" sqref="A5"/>
    </sheetView>
  </sheetViews>
  <sheetFormatPr defaultRowHeight="14.4" x14ac:dyDescent="0.3"/>
  <cols>
    <col min="1" max="1" width="12.44140625" bestFit="1" customWidth="1"/>
    <col min="2" max="2" width="19" bestFit="1" customWidth="1"/>
  </cols>
  <sheetData>
    <row r="3" spans="1:2" x14ac:dyDescent="0.3">
      <c r="A3" s="3" t="s">
        <v>27</v>
      </c>
      <c r="B3" t="s">
        <v>38</v>
      </c>
    </row>
    <row r="4" spans="1:2" x14ac:dyDescent="0.3">
      <c r="A4" s="4">
        <v>46037</v>
      </c>
      <c r="B4" s="8">
        <v>1</v>
      </c>
    </row>
    <row r="5" spans="1:2" x14ac:dyDescent="0.3">
      <c r="A5" s="4">
        <v>46038</v>
      </c>
      <c r="B5" s="8">
        <v>1</v>
      </c>
    </row>
    <row r="6" spans="1:2" x14ac:dyDescent="0.3">
      <c r="A6" s="4">
        <v>46039</v>
      </c>
      <c r="B6" s="8">
        <v>1</v>
      </c>
    </row>
    <row r="7" spans="1:2" x14ac:dyDescent="0.3">
      <c r="A7" s="4">
        <v>46040</v>
      </c>
      <c r="B7" s="8">
        <v>1</v>
      </c>
    </row>
    <row r="8" spans="1:2" x14ac:dyDescent="0.3">
      <c r="A8" s="4">
        <v>46041</v>
      </c>
      <c r="B8" s="8">
        <v>1</v>
      </c>
    </row>
    <row r="9" spans="1:2" x14ac:dyDescent="0.3">
      <c r="A9" s="4">
        <v>46042</v>
      </c>
      <c r="B9" s="8">
        <v>1</v>
      </c>
    </row>
    <row r="10" spans="1:2" x14ac:dyDescent="0.3">
      <c r="A10" s="4">
        <v>46043</v>
      </c>
      <c r="B10" s="8">
        <v>1</v>
      </c>
    </row>
    <row r="11" spans="1:2" x14ac:dyDescent="0.3">
      <c r="A11" s="4">
        <v>46044</v>
      </c>
      <c r="B11" s="8">
        <v>1</v>
      </c>
    </row>
    <row r="12" spans="1:2" x14ac:dyDescent="0.3">
      <c r="A12" s="4">
        <v>46045</v>
      </c>
      <c r="B12" s="8">
        <v>1</v>
      </c>
    </row>
    <row r="13" spans="1:2" x14ac:dyDescent="0.3">
      <c r="A13" s="4">
        <v>46046</v>
      </c>
      <c r="B13" s="8">
        <v>1</v>
      </c>
    </row>
    <row r="14" spans="1:2" x14ac:dyDescent="0.3">
      <c r="A14" s="6" t="s">
        <v>28</v>
      </c>
      <c r="B14" s="8">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934CB-BD36-440D-8BD9-70D29CDFA481}">
  <dimension ref="A1:H13"/>
  <sheetViews>
    <sheetView workbookViewId="0">
      <selection activeCell="B3" sqref="B3"/>
    </sheetView>
  </sheetViews>
  <sheetFormatPr defaultRowHeight="14.4" x14ac:dyDescent="0.3"/>
  <cols>
    <col min="1" max="1" width="10.5546875" bestFit="1" customWidth="1"/>
    <col min="2" max="2" width="12.6640625" bestFit="1" customWidth="1"/>
    <col min="3" max="3" width="12.33203125" bestFit="1" customWidth="1"/>
    <col min="4" max="4" width="10.5546875" bestFit="1" customWidth="1"/>
    <col min="5" max="5" width="10.33203125" bestFit="1" customWidth="1"/>
    <col min="6" max="6" width="11.77734375" bestFit="1" customWidth="1"/>
    <col min="7" max="7" width="10.6640625" bestFit="1" customWidth="1"/>
    <col min="8" max="8" width="15" bestFit="1" customWidth="1"/>
  </cols>
  <sheetData>
    <row r="1" spans="1:8" x14ac:dyDescent="0.3">
      <c r="A1" s="9" t="s">
        <v>40</v>
      </c>
    </row>
    <row r="2" spans="1:8" x14ac:dyDescent="0.3">
      <c r="B2" t="s">
        <v>41</v>
      </c>
    </row>
    <row r="3" spans="1:8" x14ac:dyDescent="0.3">
      <c r="A3" t="s">
        <v>0</v>
      </c>
      <c r="B3" t="s">
        <v>1</v>
      </c>
      <c r="C3" t="s">
        <v>2</v>
      </c>
      <c r="D3" t="s">
        <v>3</v>
      </c>
      <c r="E3" t="s">
        <v>4</v>
      </c>
      <c r="F3" t="s">
        <v>5</v>
      </c>
      <c r="G3" t="s">
        <v>23</v>
      </c>
      <c r="H3" t="s">
        <v>26</v>
      </c>
    </row>
    <row r="4" spans="1:8" x14ac:dyDescent="0.3">
      <c r="A4" t="s">
        <v>6</v>
      </c>
      <c r="B4" s="1">
        <v>46037</v>
      </c>
      <c r="C4" t="s">
        <v>7</v>
      </c>
      <c r="D4" t="s">
        <v>8</v>
      </c>
      <c r="E4">
        <v>2</v>
      </c>
      <c r="F4">
        <v>150</v>
      </c>
      <c r="G4" t="s">
        <v>25</v>
      </c>
      <c r="H4">
        <v>300</v>
      </c>
    </row>
    <row r="5" spans="1:8" x14ac:dyDescent="0.3">
      <c r="A5" t="s">
        <v>9</v>
      </c>
      <c r="B5" s="1">
        <v>46038</v>
      </c>
      <c r="C5" t="s">
        <v>10</v>
      </c>
      <c r="D5" t="s">
        <v>11</v>
      </c>
      <c r="E5">
        <v>5</v>
      </c>
      <c r="F5">
        <v>25</v>
      </c>
      <c r="G5" t="s">
        <v>25</v>
      </c>
      <c r="H5">
        <v>125</v>
      </c>
    </row>
    <row r="6" spans="1:8" x14ac:dyDescent="0.3">
      <c r="A6" t="s">
        <v>12</v>
      </c>
      <c r="B6" s="1">
        <v>46039</v>
      </c>
      <c r="C6" t="s">
        <v>25</v>
      </c>
      <c r="D6" t="s">
        <v>13</v>
      </c>
      <c r="E6">
        <v>1</v>
      </c>
      <c r="F6">
        <v>300</v>
      </c>
      <c r="G6" t="s">
        <v>25</v>
      </c>
      <c r="H6">
        <v>300</v>
      </c>
    </row>
    <row r="7" spans="1:8" x14ac:dyDescent="0.3">
      <c r="A7" t="s">
        <v>14</v>
      </c>
      <c r="B7" s="1">
        <v>46040</v>
      </c>
      <c r="C7" t="s">
        <v>7</v>
      </c>
      <c r="D7" t="s">
        <v>8</v>
      </c>
      <c r="E7">
        <v>1</v>
      </c>
      <c r="F7">
        <v>150</v>
      </c>
      <c r="G7" t="s">
        <v>25</v>
      </c>
      <c r="H7">
        <v>150</v>
      </c>
    </row>
    <row r="8" spans="1:8" x14ac:dyDescent="0.3">
      <c r="A8" t="s">
        <v>15</v>
      </c>
      <c r="B8" s="1">
        <v>46041</v>
      </c>
      <c r="C8" t="s">
        <v>16</v>
      </c>
      <c r="D8" t="s">
        <v>25</v>
      </c>
      <c r="E8" t="s">
        <v>25</v>
      </c>
      <c r="F8">
        <v>45</v>
      </c>
      <c r="G8" t="s">
        <v>25</v>
      </c>
      <c r="H8" t="e">
        <v>#VALUE!</v>
      </c>
    </row>
    <row r="9" spans="1:8" x14ac:dyDescent="0.3">
      <c r="A9" t="s">
        <v>17</v>
      </c>
      <c r="B9" s="1">
        <v>46042</v>
      </c>
      <c r="C9" t="s">
        <v>10</v>
      </c>
      <c r="D9" t="s">
        <v>11</v>
      </c>
      <c r="E9">
        <v>2</v>
      </c>
      <c r="F9">
        <v>25</v>
      </c>
      <c r="G9" t="s">
        <v>25</v>
      </c>
      <c r="H9">
        <v>50</v>
      </c>
    </row>
    <row r="10" spans="1:8" x14ac:dyDescent="0.3">
      <c r="A10" t="s">
        <v>18</v>
      </c>
      <c r="B10" s="1">
        <v>46043</v>
      </c>
      <c r="C10" t="s">
        <v>19</v>
      </c>
      <c r="D10" t="s">
        <v>13</v>
      </c>
      <c r="E10">
        <v>3</v>
      </c>
      <c r="F10">
        <v>80</v>
      </c>
      <c r="G10" t="s">
        <v>25</v>
      </c>
      <c r="H10">
        <v>240</v>
      </c>
    </row>
    <row r="11" spans="1:8" x14ac:dyDescent="0.3">
      <c r="A11" t="s">
        <v>20</v>
      </c>
      <c r="B11" s="1">
        <v>46044</v>
      </c>
      <c r="C11" t="s">
        <v>25</v>
      </c>
      <c r="D11" t="s">
        <v>8</v>
      </c>
      <c r="E11">
        <v>1</v>
      </c>
      <c r="F11">
        <v>500</v>
      </c>
      <c r="G11" t="s">
        <v>25</v>
      </c>
      <c r="H11">
        <v>500</v>
      </c>
    </row>
    <row r="12" spans="1:8" x14ac:dyDescent="0.3">
      <c r="A12" t="s">
        <v>21</v>
      </c>
      <c r="B12" s="1">
        <v>46045</v>
      </c>
      <c r="C12" t="s">
        <v>16</v>
      </c>
      <c r="D12" t="s">
        <v>11</v>
      </c>
      <c r="E12">
        <v>10</v>
      </c>
      <c r="F12">
        <v>45</v>
      </c>
      <c r="G12" t="s">
        <v>25</v>
      </c>
      <c r="H12">
        <v>450</v>
      </c>
    </row>
    <row r="13" spans="1:8" x14ac:dyDescent="0.3">
      <c r="A13" t="s">
        <v>22</v>
      </c>
      <c r="B13" s="1">
        <v>46046</v>
      </c>
      <c r="C13" t="s">
        <v>7</v>
      </c>
      <c r="D13" t="s">
        <v>25</v>
      </c>
      <c r="E13">
        <v>6</v>
      </c>
      <c r="F13">
        <v>150</v>
      </c>
      <c r="G13" t="s">
        <v>25</v>
      </c>
      <c r="H13">
        <v>900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65C5D-5547-4416-958B-34F58F79FB11}">
  <dimension ref="A1:H13"/>
  <sheetViews>
    <sheetView topLeftCell="A8" workbookViewId="0">
      <selection activeCell="H13" sqref="H13"/>
    </sheetView>
  </sheetViews>
  <sheetFormatPr defaultRowHeight="14.4" x14ac:dyDescent="0.3"/>
  <cols>
    <col min="1" max="1" width="10.5546875" bestFit="1" customWidth="1"/>
    <col min="2" max="2" width="12.6640625" bestFit="1" customWidth="1"/>
    <col min="3" max="3" width="12.33203125" bestFit="1" customWidth="1"/>
    <col min="4" max="4" width="10.5546875" bestFit="1" customWidth="1"/>
    <col min="5" max="5" width="10.33203125" bestFit="1" customWidth="1"/>
    <col min="6" max="6" width="11.77734375" bestFit="1" customWidth="1"/>
    <col min="7" max="7" width="10.6640625" bestFit="1" customWidth="1"/>
    <col min="8" max="8" width="15" bestFit="1" customWidth="1"/>
  </cols>
  <sheetData>
    <row r="1" spans="1:8" x14ac:dyDescent="0.3">
      <c r="A1" s="9" t="s">
        <v>40</v>
      </c>
    </row>
    <row r="3" spans="1:8" x14ac:dyDescent="0.3">
      <c r="A3" t="s">
        <v>0</v>
      </c>
      <c r="B3" t="s">
        <v>1</v>
      </c>
      <c r="C3" t="s">
        <v>2</v>
      </c>
      <c r="D3" t="s">
        <v>3</v>
      </c>
      <c r="E3" t="s">
        <v>4</v>
      </c>
      <c r="F3" t="s">
        <v>5</v>
      </c>
      <c r="G3" t="s">
        <v>23</v>
      </c>
      <c r="H3" t="s">
        <v>26</v>
      </c>
    </row>
    <row r="4" spans="1:8" x14ac:dyDescent="0.3">
      <c r="A4" t="s">
        <v>17</v>
      </c>
      <c r="B4" s="1">
        <v>46042</v>
      </c>
      <c r="C4" t="s">
        <v>10</v>
      </c>
      <c r="D4" t="s">
        <v>11</v>
      </c>
      <c r="E4">
        <v>2</v>
      </c>
      <c r="F4">
        <v>25</v>
      </c>
      <c r="G4" t="s">
        <v>25</v>
      </c>
      <c r="H4">
        <v>50</v>
      </c>
    </row>
    <row r="5" spans="1:8" x14ac:dyDescent="0.3">
      <c r="A5" t="s">
        <v>9</v>
      </c>
      <c r="B5" s="1">
        <v>46038</v>
      </c>
      <c r="C5" t="s">
        <v>10</v>
      </c>
      <c r="D5" t="s">
        <v>11</v>
      </c>
      <c r="E5">
        <v>5</v>
      </c>
      <c r="F5">
        <v>25</v>
      </c>
      <c r="G5" t="s">
        <v>25</v>
      </c>
      <c r="H5">
        <v>125</v>
      </c>
    </row>
    <row r="6" spans="1:8" x14ac:dyDescent="0.3">
      <c r="A6" t="s">
        <v>14</v>
      </c>
      <c r="B6" s="1">
        <v>46040</v>
      </c>
      <c r="C6" t="s">
        <v>7</v>
      </c>
      <c r="D6" t="s">
        <v>8</v>
      </c>
      <c r="E6">
        <v>1</v>
      </c>
      <c r="F6">
        <v>150</v>
      </c>
      <c r="G6" t="s">
        <v>25</v>
      </c>
      <c r="H6">
        <v>150</v>
      </c>
    </row>
    <row r="7" spans="1:8" x14ac:dyDescent="0.3">
      <c r="A7" t="s">
        <v>18</v>
      </c>
      <c r="B7" s="1">
        <v>46043</v>
      </c>
      <c r="C7" t="s">
        <v>19</v>
      </c>
      <c r="D7" t="s">
        <v>13</v>
      </c>
      <c r="E7">
        <v>3</v>
      </c>
      <c r="F7">
        <v>80</v>
      </c>
      <c r="G7" t="s">
        <v>25</v>
      </c>
      <c r="H7">
        <v>240</v>
      </c>
    </row>
    <row r="8" spans="1:8" x14ac:dyDescent="0.3">
      <c r="A8" t="s">
        <v>6</v>
      </c>
      <c r="B8" s="1">
        <v>46037</v>
      </c>
      <c r="C8" t="s">
        <v>7</v>
      </c>
      <c r="D8" t="s">
        <v>8</v>
      </c>
      <c r="E8">
        <v>2</v>
      </c>
      <c r="F8">
        <v>150</v>
      </c>
      <c r="G8" t="s">
        <v>25</v>
      </c>
      <c r="H8">
        <v>300</v>
      </c>
    </row>
    <row r="9" spans="1:8" x14ac:dyDescent="0.3">
      <c r="A9" t="s">
        <v>12</v>
      </c>
      <c r="B9" s="1">
        <v>46039</v>
      </c>
      <c r="C9" t="s">
        <v>25</v>
      </c>
      <c r="D9" t="s">
        <v>13</v>
      </c>
      <c r="E9">
        <v>1</v>
      </c>
      <c r="F9">
        <v>300</v>
      </c>
      <c r="G9" t="s">
        <v>25</v>
      </c>
      <c r="H9">
        <v>300</v>
      </c>
    </row>
    <row r="10" spans="1:8" x14ac:dyDescent="0.3">
      <c r="A10" t="s">
        <v>21</v>
      </c>
      <c r="B10" s="1">
        <v>46045</v>
      </c>
      <c r="C10" t="s">
        <v>16</v>
      </c>
      <c r="D10" t="s">
        <v>11</v>
      </c>
      <c r="E10">
        <v>10</v>
      </c>
      <c r="F10">
        <v>45</v>
      </c>
      <c r="G10" t="s">
        <v>25</v>
      </c>
      <c r="H10">
        <v>450</v>
      </c>
    </row>
    <row r="11" spans="1:8" x14ac:dyDescent="0.3">
      <c r="A11" t="s">
        <v>20</v>
      </c>
      <c r="B11" s="1">
        <v>46044</v>
      </c>
      <c r="C11" t="s">
        <v>25</v>
      </c>
      <c r="D11" t="s">
        <v>8</v>
      </c>
      <c r="E11">
        <v>1</v>
      </c>
      <c r="F11">
        <v>500</v>
      </c>
      <c r="G11" t="s">
        <v>25</v>
      </c>
      <c r="H11">
        <v>500</v>
      </c>
    </row>
    <row r="12" spans="1:8" x14ac:dyDescent="0.3">
      <c r="A12" t="s">
        <v>22</v>
      </c>
      <c r="B12" s="1">
        <v>46046</v>
      </c>
      <c r="C12" t="s">
        <v>7</v>
      </c>
      <c r="D12" t="s">
        <v>25</v>
      </c>
      <c r="E12">
        <v>6</v>
      </c>
      <c r="F12">
        <v>150</v>
      </c>
      <c r="G12" t="s">
        <v>25</v>
      </c>
      <c r="H12">
        <v>900</v>
      </c>
    </row>
    <row r="13" spans="1:8" x14ac:dyDescent="0.3">
      <c r="A13" t="s">
        <v>15</v>
      </c>
      <c r="B13" s="1">
        <v>46041</v>
      </c>
      <c r="C13" t="s">
        <v>16</v>
      </c>
      <c r="D13" t="s">
        <v>25</v>
      </c>
      <c r="E13" t="s">
        <v>25</v>
      </c>
      <c r="F13">
        <v>45</v>
      </c>
      <c r="G13" t="s">
        <v>25</v>
      </c>
      <c r="H13" t="e">
        <v>#VALUE!</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6912-9298-4103-8C6E-9C2D8155FD0E}">
  <dimension ref="A1:H13"/>
  <sheetViews>
    <sheetView workbookViewId="0">
      <selection activeCell="A3" sqref="A3:H13"/>
    </sheetView>
  </sheetViews>
  <sheetFormatPr defaultRowHeight="14.4" x14ac:dyDescent="0.3"/>
  <cols>
    <col min="1" max="1" width="10.5546875" bestFit="1" customWidth="1"/>
    <col min="2" max="2" width="12.6640625" bestFit="1" customWidth="1"/>
    <col min="3" max="3" width="12.33203125" bestFit="1" customWidth="1"/>
    <col min="4" max="4" width="10.5546875" bestFit="1" customWidth="1"/>
    <col min="5" max="5" width="10.33203125" bestFit="1" customWidth="1"/>
    <col min="6" max="6" width="11.77734375" bestFit="1" customWidth="1"/>
    <col min="7" max="7" width="10.6640625" bestFit="1" customWidth="1"/>
    <col min="8" max="8" width="15" bestFit="1" customWidth="1"/>
  </cols>
  <sheetData>
    <row r="1" spans="1:8" x14ac:dyDescent="0.3">
      <c r="A1" s="9" t="s">
        <v>40</v>
      </c>
    </row>
    <row r="3" spans="1:8" x14ac:dyDescent="0.3">
      <c r="A3" t="s">
        <v>0</v>
      </c>
      <c r="B3" t="s">
        <v>1</v>
      </c>
      <c r="C3" t="s">
        <v>2</v>
      </c>
      <c r="D3" t="s">
        <v>3</v>
      </c>
      <c r="E3" t="s">
        <v>4</v>
      </c>
      <c r="F3" t="s">
        <v>5</v>
      </c>
      <c r="G3" t="s">
        <v>23</v>
      </c>
      <c r="H3" t="s">
        <v>26</v>
      </c>
    </row>
    <row r="4" spans="1:8" x14ac:dyDescent="0.3">
      <c r="A4" t="s">
        <v>15</v>
      </c>
      <c r="B4" s="1">
        <v>46041</v>
      </c>
      <c r="C4" t="s">
        <v>16</v>
      </c>
      <c r="D4" t="s">
        <v>25</v>
      </c>
      <c r="E4" t="s">
        <v>25</v>
      </c>
      <c r="F4">
        <v>45</v>
      </c>
      <c r="G4" t="s">
        <v>25</v>
      </c>
      <c r="H4" t="e">
        <v>#VALUE!</v>
      </c>
    </row>
    <row r="5" spans="1:8" x14ac:dyDescent="0.3">
      <c r="A5" t="s">
        <v>22</v>
      </c>
      <c r="B5" s="1">
        <v>46046</v>
      </c>
      <c r="C5" t="s">
        <v>7</v>
      </c>
      <c r="D5" t="s">
        <v>25</v>
      </c>
      <c r="E5">
        <v>6</v>
      </c>
      <c r="F5">
        <v>150</v>
      </c>
      <c r="G5" t="s">
        <v>25</v>
      </c>
      <c r="H5">
        <v>900</v>
      </c>
    </row>
    <row r="6" spans="1:8" x14ac:dyDescent="0.3">
      <c r="A6" t="s">
        <v>20</v>
      </c>
      <c r="B6" s="1">
        <v>46044</v>
      </c>
      <c r="C6" t="s">
        <v>25</v>
      </c>
      <c r="D6" t="s">
        <v>8</v>
      </c>
      <c r="E6">
        <v>1</v>
      </c>
      <c r="F6">
        <v>500</v>
      </c>
      <c r="G6" t="s">
        <v>25</v>
      </c>
      <c r="H6">
        <v>500</v>
      </c>
    </row>
    <row r="7" spans="1:8" x14ac:dyDescent="0.3">
      <c r="A7" t="s">
        <v>21</v>
      </c>
      <c r="B7" s="1">
        <v>46045</v>
      </c>
      <c r="C7" t="s">
        <v>16</v>
      </c>
      <c r="D7" t="s">
        <v>11</v>
      </c>
      <c r="E7">
        <v>10</v>
      </c>
      <c r="F7">
        <v>45</v>
      </c>
      <c r="G7" t="s">
        <v>25</v>
      </c>
      <c r="H7">
        <v>450</v>
      </c>
    </row>
    <row r="8" spans="1:8" x14ac:dyDescent="0.3">
      <c r="A8" t="s">
        <v>6</v>
      </c>
      <c r="B8" s="1">
        <v>46037</v>
      </c>
      <c r="C8" t="s">
        <v>7</v>
      </c>
      <c r="D8" t="s">
        <v>8</v>
      </c>
      <c r="E8">
        <v>2</v>
      </c>
      <c r="F8">
        <v>150</v>
      </c>
      <c r="G8" t="s">
        <v>25</v>
      </c>
      <c r="H8">
        <v>300</v>
      </c>
    </row>
    <row r="9" spans="1:8" x14ac:dyDescent="0.3">
      <c r="A9" t="s">
        <v>12</v>
      </c>
      <c r="B9" s="1">
        <v>46039</v>
      </c>
      <c r="C9" t="s">
        <v>25</v>
      </c>
      <c r="D9" t="s">
        <v>13</v>
      </c>
      <c r="E9">
        <v>1</v>
      </c>
      <c r="F9">
        <v>300</v>
      </c>
      <c r="G9" t="s">
        <v>25</v>
      </c>
      <c r="H9">
        <v>300</v>
      </c>
    </row>
    <row r="10" spans="1:8" x14ac:dyDescent="0.3">
      <c r="A10" t="s">
        <v>18</v>
      </c>
      <c r="B10" s="1">
        <v>46043</v>
      </c>
      <c r="C10" t="s">
        <v>19</v>
      </c>
      <c r="D10" t="s">
        <v>13</v>
      </c>
      <c r="E10">
        <v>3</v>
      </c>
      <c r="F10">
        <v>80</v>
      </c>
      <c r="G10" t="s">
        <v>25</v>
      </c>
      <c r="H10">
        <v>240</v>
      </c>
    </row>
    <row r="11" spans="1:8" x14ac:dyDescent="0.3">
      <c r="A11" t="s">
        <v>14</v>
      </c>
      <c r="B11" s="1">
        <v>46040</v>
      </c>
      <c r="C11" t="s">
        <v>7</v>
      </c>
      <c r="D11" t="s">
        <v>8</v>
      </c>
      <c r="E11">
        <v>1</v>
      </c>
      <c r="F11">
        <v>150</v>
      </c>
      <c r="G11" t="s">
        <v>25</v>
      </c>
      <c r="H11">
        <v>150</v>
      </c>
    </row>
    <row r="12" spans="1:8" x14ac:dyDescent="0.3">
      <c r="A12" t="s">
        <v>9</v>
      </c>
      <c r="B12" s="1">
        <v>46038</v>
      </c>
      <c r="C12" t="s">
        <v>10</v>
      </c>
      <c r="D12" t="s">
        <v>11</v>
      </c>
      <c r="E12">
        <v>5</v>
      </c>
      <c r="F12">
        <v>25</v>
      </c>
      <c r="G12" t="s">
        <v>25</v>
      </c>
      <c r="H12">
        <v>125</v>
      </c>
    </row>
    <row r="13" spans="1:8" x14ac:dyDescent="0.3">
      <c r="A13" t="s">
        <v>17</v>
      </c>
      <c r="B13" s="1">
        <v>46042</v>
      </c>
      <c r="C13" t="s">
        <v>10</v>
      </c>
      <c r="D13" t="s">
        <v>11</v>
      </c>
      <c r="E13">
        <v>2</v>
      </c>
      <c r="F13">
        <v>25</v>
      </c>
      <c r="G13" t="s">
        <v>25</v>
      </c>
      <c r="H13">
        <v>50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ED819-43D5-4110-A0BE-6B9FC4947D8E}">
  <dimension ref="A1:H13"/>
  <sheetViews>
    <sheetView workbookViewId="0">
      <selection activeCell="A3" sqref="A3:H13"/>
    </sheetView>
  </sheetViews>
  <sheetFormatPr defaultRowHeight="14.4" x14ac:dyDescent="0.3"/>
  <cols>
    <col min="1" max="1" width="10.5546875" bestFit="1" customWidth="1"/>
    <col min="2" max="2" width="12.6640625" bestFit="1" customWidth="1"/>
    <col min="3" max="3" width="12.33203125" bestFit="1" customWidth="1"/>
    <col min="4" max="4" width="10.5546875" bestFit="1" customWidth="1"/>
    <col min="5" max="5" width="10.33203125" bestFit="1" customWidth="1"/>
    <col min="6" max="6" width="11.77734375" bestFit="1" customWidth="1"/>
    <col min="7" max="7" width="10.6640625" bestFit="1" customWidth="1"/>
    <col min="8" max="8" width="15" bestFit="1" customWidth="1"/>
  </cols>
  <sheetData>
    <row r="1" spans="1:8" x14ac:dyDescent="0.3">
      <c r="A1" s="9" t="s">
        <v>40</v>
      </c>
    </row>
    <row r="3" spans="1:8" x14ac:dyDescent="0.3">
      <c r="A3" t="s">
        <v>0</v>
      </c>
      <c r="B3" t="s">
        <v>1</v>
      </c>
      <c r="C3" t="s">
        <v>2</v>
      </c>
      <c r="D3" t="s">
        <v>3</v>
      </c>
      <c r="E3" t="s">
        <v>4</v>
      </c>
      <c r="F3" t="s">
        <v>5</v>
      </c>
      <c r="G3" t="s">
        <v>23</v>
      </c>
      <c r="H3" t="s">
        <v>26</v>
      </c>
    </row>
    <row r="4" spans="1:8" x14ac:dyDescent="0.3">
      <c r="A4" t="s">
        <v>6</v>
      </c>
      <c r="B4" s="1">
        <v>46037</v>
      </c>
      <c r="C4" t="s">
        <v>7</v>
      </c>
      <c r="D4" t="s">
        <v>8</v>
      </c>
      <c r="E4">
        <v>2</v>
      </c>
      <c r="F4">
        <v>150</v>
      </c>
      <c r="G4" t="s">
        <v>25</v>
      </c>
      <c r="H4">
        <v>300</v>
      </c>
    </row>
    <row r="5" spans="1:8" x14ac:dyDescent="0.3">
      <c r="A5" t="s">
        <v>9</v>
      </c>
      <c r="B5" s="1">
        <v>46038</v>
      </c>
      <c r="C5" t="s">
        <v>10</v>
      </c>
      <c r="D5" t="s">
        <v>11</v>
      </c>
      <c r="E5">
        <v>5</v>
      </c>
      <c r="F5">
        <v>25</v>
      </c>
      <c r="G5" t="s">
        <v>25</v>
      </c>
      <c r="H5">
        <v>125</v>
      </c>
    </row>
    <row r="6" spans="1:8" x14ac:dyDescent="0.3">
      <c r="A6" t="s">
        <v>12</v>
      </c>
      <c r="B6" s="1">
        <v>46039</v>
      </c>
      <c r="C6" t="s">
        <v>25</v>
      </c>
      <c r="D6" t="s">
        <v>13</v>
      </c>
      <c r="E6">
        <v>1</v>
      </c>
      <c r="F6">
        <v>300</v>
      </c>
      <c r="G6" t="s">
        <v>25</v>
      </c>
      <c r="H6">
        <v>300</v>
      </c>
    </row>
    <row r="7" spans="1:8" x14ac:dyDescent="0.3">
      <c r="A7" t="s">
        <v>14</v>
      </c>
      <c r="B7" s="1">
        <v>46040</v>
      </c>
      <c r="C7" t="s">
        <v>7</v>
      </c>
      <c r="D7" t="s">
        <v>8</v>
      </c>
      <c r="E7">
        <v>1</v>
      </c>
      <c r="F7">
        <v>150</v>
      </c>
      <c r="G7" t="s">
        <v>25</v>
      </c>
      <c r="H7">
        <v>150</v>
      </c>
    </row>
    <row r="8" spans="1:8" x14ac:dyDescent="0.3">
      <c r="A8" t="s">
        <v>15</v>
      </c>
      <c r="B8" s="1">
        <v>46041</v>
      </c>
      <c r="C8" t="s">
        <v>16</v>
      </c>
      <c r="D8" t="s">
        <v>25</v>
      </c>
      <c r="E8" t="s">
        <v>25</v>
      </c>
      <c r="F8">
        <v>45</v>
      </c>
      <c r="G8" t="s">
        <v>25</v>
      </c>
      <c r="H8" t="e">
        <v>#VALUE!</v>
      </c>
    </row>
    <row r="9" spans="1:8" x14ac:dyDescent="0.3">
      <c r="A9" t="s">
        <v>17</v>
      </c>
      <c r="B9" s="1">
        <v>46042</v>
      </c>
      <c r="C9" t="s">
        <v>10</v>
      </c>
      <c r="D9" t="s">
        <v>11</v>
      </c>
      <c r="E9">
        <v>2</v>
      </c>
      <c r="F9">
        <v>25</v>
      </c>
      <c r="G9" t="s">
        <v>25</v>
      </c>
      <c r="H9">
        <v>50</v>
      </c>
    </row>
    <row r="10" spans="1:8" x14ac:dyDescent="0.3">
      <c r="A10" t="s">
        <v>18</v>
      </c>
      <c r="B10" s="1">
        <v>46043</v>
      </c>
      <c r="C10" t="s">
        <v>19</v>
      </c>
      <c r="D10" t="s">
        <v>13</v>
      </c>
      <c r="E10">
        <v>3</v>
      </c>
      <c r="F10">
        <v>80</v>
      </c>
      <c r="G10" t="s">
        <v>25</v>
      </c>
      <c r="H10">
        <v>240</v>
      </c>
    </row>
    <row r="11" spans="1:8" x14ac:dyDescent="0.3">
      <c r="A11" t="s">
        <v>20</v>
      </c>
      <c r="B11" s="1">
        <v>46044</v>
      </c>
      <c r="C11" t="s">
        <v>25</v>
      </c>
      <c r="D11" t="s">
        <v>8</v>
      </c>
      <c r="E11">
        <v>1</v>
      </c>
      <c r="F11">
        <v>500</v>
      </c>
      <c r="G11" t="s">
        <v>25</v>
      </c>
      <c r="H11">
        <v>500</v>
      </c>
    </row>
    <row r="12" spans="1:8" x14ac:dyDescent="0.3">
      <c r="A12" t="s">
        <v>21</v>
      </c>
      <c r="B12" s="1">
        <v>46045</v>
      </c>
      <c r="C12" t="s">
        <v>16</v>
      </c>
      <c r="D12" t="s">
        <v>11</v>
      </c>
      <c r="E12">
        <v>10</v>
      </c>
      <c r="F12">
        <v>45</v>
      </c>
      <c r="G12" t="s">
        <v>25</v>
      </c>
      <c r="H12">
        <v>450</v>
      </c>
    </row>
    <row r="13" spans="1:8" x14ac:dyDescent="0.3">
      <c r="A13" t="s">
        <v>22</v>
      </c>
      <c r="B13" s="1">
        <v>46046</v>
      </c>
      <c r="C13" t="s">
        <v>7</v>
      </c>
      <c r="D13" t="s">
        <v>25</v>
      </c>
      <c r="E13">
        <v>6</v>
      </c>
      <c r="F13">
        <v>150</v>
      </c>
      <c r="G13" t="s">
        <v>25</v>
      </c>
      <c r="H13">
        <v>900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23CF5-1987-4E77-896C-4D560DA13C18}">
  <sheetPr>
    <tabColor theme="5" tint="-0.249977111117893"/>
  </sheetPr>
  <dimension ref="A3:H14"/>
  <sheetViews>
    <sheetView zoomScale="78" workbookViewId="0">
      <selection activeCell="B14" sqref="B14"/>
    </sheetView>
  </sheetViews>
  <sheetFormatPr defaultRowHeight="14.4" x14ac:dyDescent="0.3"/>
  <cols>
    <col min="1" max="1" width="12.88671875" bestFit="1" customWidth="1"/>
    <col min="2" max="2" width="19" bestFit="1" customWidth="1"/>
    <col min="4" max="4" width="12.88671875" bestFit="1" customWidth="1"/>
    <col min="5" max="5" width="13.88671875" bestFit="1" customWidth="1"/>
    <col min="6" max="6" width="21.109375" bestFit="1" customWidth="1"/>
    <col min="7" max="7" width="12.88671875" bestFit="1" customWidth="1"/>
    <col min="8" max="8" width="19" bestFit="1" customWidth="1"/>
  </cols>
  <sheetData>
    <row r="3" spans="1:8" x14ac:dyDescent="0.3">
      <c r="A3" s="3" t="s">
        <v>27</v>
      </c>
      <c r="B3" t="s">
        <v>38</v>
      </c>
      <c r="D3" s="3" t="s">
        <v>27</v>
      </c>
      <c r="E3" t="s">
        <v>39</v>
      </c>
      <c r="G3" s="3" t="s">
        <v>27</v>
      </c>
      <c r="H3" t="s">
        <v>38</v>
      </c>
    </row>
    <row r="4" spans="1:8" x14ac:dyDescent="0.3">
      <c r="A4" s="4">
        <v>46037</v>
      </c>
      <c r="B4" s="8">
        <v>300</v>
      </c>
      <c r="D4" s="6" t="s">
        <v>7</v>
      </c>
      <c r="E4" s="8">
        <v>1350</v>
      </c>
      <c r="G4" s="6" t="s">
        <v>11</v>
      </c>
      <c r="H4" s="7">
        <v>625</v>
      </c>
    </row>
    <row r="5" spans="1:8" x14ac:dyDescent="0.3">
      <c r="A5" s="4">
        <v>46038</v>
      </c>
      <c r="B5" s="8">
        <v>125</v>
      </c>
      <c r="D5" s="6" t="s">
        <v>10</v>
      </c>
      <c r="E5" s="8">
        <v>175</v>
      </c>
      <c r="G5" s="6" t="s">
        <v>8</v>
      </c>
      <c r="H5" s="7">
        <v>950</v>
      </c>
    </row>
    <row r="6" spans="1:8" x14ac:dyDescent="0.3">
      <c r="A6" s="4">
        <v>46039</v>
      </c>
      <c r="B6" s="8">
        <v>300</v>
      </c>
      <c r="D6" s="6" t="s">
        <v>16</v>
      </c>
      <c r="E6" s="8">
        <v>810</v>
      </c>
      <c r="G6" s="6" t="s">
        <v>13</v>
      </c>
      <c r="H6" s="7">
        <v>540</v>
      </c>
    </row>
    <row r="7" spans="1:8" x14ac:dyDescent="0.3">
      <c r="A7" s="4">
        <v>46040</v>
      </c>
      <c r="B7" s="8">
        <v>150</v>
      </c>
      <c r="D7" s="6" t="s">
        <v>19</v>
      </c>
      <c r="E7" s="8">
        <v>240</v>
      </c>
      <c r="G7" s="6" t="s">
        <v>25</v>
      </c>
      <c r="H7" s="7">
        <v>1260</v>
      </c>
    </row>
    <row r="8" spans="1:8" x14ac:dyDescent="0.3">
      <c r="A8" s="4">
        <v>46041</v>
      </c>
      <c r="B8" s="8">
        <v>360</v>
      </c>
      <c r="D8" s="6" t="s">
        <v>25</v>
      </c>
      <c r="E8" s="8">
        <v>800</v>
      </c>
      <c r="G8" s="6" t="s">
        <v>28</v>
      </c>
      <c r="H8" s="7">
        <v>3375</v>
      </c>
    </row>
    <row r="9" spans="1:8" x14ac:dyDescent="0.3">
      <c r="A9" s="4">
        <v>46042</v>
      </c>
      <c r="B9" s="8">
        <v>50</v>
      </c>
      <c r="D9" s="6" t="s">
        <v>28</v>
      </c>
      <c r="E9" s="8">
        <v>3375</v>
      </c>
    </row>
    <row r="10" spans="1:8" x14ac:dyDescent="0.3">
      <c r="A10" s="4">
        <v>46043</v>
      </c>
      <c r="B10" s="8">
        <v>240</v>
      </c>
    </row>
    <row r="11" spans="1:8" x14ac:dyDescent="0.3">
      <c r="A11" s="4">
        <v>46044</v>
      </c>
      <c r="B11" s="8">
        <v>500</v>
      </c>
    </row>
    <row r="12" spans="1:8" x14ac:dyDescent="0.3">
      <c r="A12" s="4">
        <v>46045</v>
      </c>
      <c r="B12" s="8">
        <v>450</v>
      </c>
    </row>
    <row r="13" spans="1:8" x14ac:dyDescent="0.3">
      <c r="A13" s="4">
        <v>46046</v>
      </c>
      <c r="B13" s="8">
        <v>900</v>
      </c>
    </row>
    <row r="14" spans="1:8" x14ac:dyDescent="0.3">
      <c r="A14" s="4" t="s">
        <v>28</v>
      </c>
      <c r="B14" s="8">
        <v>3375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A1864-F97D-40B3-BB72-6DBCBEE84409}">
  <sheetPr>
    <tabColor theme="6" tint="0.39997558519241921"/>
  </sheetPr>
  <dimension ref="B5:B11"/>
  <sheetViews>
    <sheetView showGridLines="0" tabSelected="1" topLeftCell="A4" zoomScale="47" zoomScaleNormal="55" workbookViewId="0">
      <selection activeCell="AG47" sqref="AG47"/>
    </sheetView>
  </sheetViews>
  <sheetFormatPr defaultRowHeight="14.4" x14ac:dyDescent="0.3"/>
  <cols>
    <col min="2" max="2" width="31.6640625" customWidth="1"/>
  </cols>
  <sheetData>
    <row r="5" spans="2:2" x14ac:dyDescent="0.3">
      <c r="B5" t="s">
        <v>42</v>
      </c>
    </row>
    <row r="6" spans="2:2" x14ac:dyDescent="0.3">
      <c r="B6" s="1"/>
    </row>
    <row r="7" spans="2:2" x14ac:dyDescent="0.3">
      <c r="B7" s="11">
        <f>GETPIVOTDATA("Total-Revenue",CALCULATIONS!$A$3)</f>
        <v>3375</v>
      </c>
    </row>
    <row r="8" spans="2:2" x14ac:dyDescent="0.3">
      <c r="B8" s="10"/>
    </row>
    <row r="9" spans="2:2" x14ac:dyDescent="0.3">
      <c r="B9" s="1"/>
    </row>
    <row r="10" spans="2:2" x14ac:dyDescent="0.3">
      <c r="B10" s="1"/>
    </row>
    <row r="11" spans="2:2" x14ac:dyDescent="0.3">
      <c r="B11" s="1"/>
    </row>
  </sheetData>
  <mergeCells count="1">
    <mergeCell ref="B7:B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Sheet5</vt:lpstr>
      <vt:lpstr>Sheet6</vt:lpstr>
      <vt:lpstr>Detail1</vt:lpstr>
      <vt:lpstr>Detail2</vt:lpstr>
      <vt:lpstr>Detail3</vt:lpstr>
      <vt:lpstr>Detail4</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Richiee ._.</dc:creator>
  <cp:lastModifiedBy>Richiee ._.</cp:lastModifiedBy>
  <dcterms:created xsi:type="dcterms:W3CDTF">2026-06-06T06:26:53Z</dcterms:created>
  <dcterms:modified xsi:type="dcterms:W3CDTF">2026-06-06T08:42:25Z</dcterms:modified>
</cp:coreProperties>
</file>